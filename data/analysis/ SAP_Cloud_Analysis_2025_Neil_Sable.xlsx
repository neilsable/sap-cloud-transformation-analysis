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neilsable/Desktop/SAP_Cloud_Project/"/>
    </mc:Choice>
  </mc:AlternateContent>
  <xr:revisionPtr revIDLastSave="0" documentId="13_ncr:1_{D4B071D2-960D-9143-B705-A09129096870}" xr6:coauthVersionLast="47" xr6:coauthVersionMax="47" xr10:uidLastSave="{00000000-0000-0000-0000-000000000000}"/>
  <bookViews>
    <workbookView xWindow="380" yWindow="500" windowWidth="28040" windowHeight="16060" activeTab="2" xr2:uid="{2CABDD52-196F-904D-9C41-38D7EFD68227}"/>
  </bookViews>
  <sheets>
    <sheet name="Raw_Data" sheetId="1" r:id="rId1"/>
    <sheet name="Analysis" sheetId="2" r:id="rId2"/>
    <sheet name="Regional_Data" sheetId="3" r:id="rId3"/>
    <sheet name="Forecast_Model" sheetId="4" r:id="rId4"/>
    <sheet name="Dashboard" sheetId="5" r:id="rId5"/>
    <sheet name="Documentation" sheetId="6" r:id="rId6"/>
  </sheets>
  <definedNames>
    <definedName name="_xlchart.v1.0" hidden="1">Raw_Data!$A$6:$A$12</definedName>
    <definedName name="_xlchart.v1.1" hidden="1">Raw_Data!$K$5</definedName>
    <definedName name="_xlchart.v1.2" hidden="1">Raw_Data!$K$6:$K$12</definedName>
    <definedName name="_xlchart.v1.3" hidden="1">Raw_Data!$A$6:$A$12</definedName>
    <definedName name="_xlchart.v1.4" hidden="1">Raw_Data!$K$5</definedName>
    <definedName name="_xlchart.v1.5" hidden="1">Raw_Data!$K$6:$K$12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 l="1"/>
  <c r="K7" i="1"/>
  <c r="K8" i="1"/>
  <c r="K9" i="1"/>
  <c r="K10" i="1"/>
  <c r="K11" i="1"/>
  <c r="K12" i="1"/>
  <c r="A11" i="5"/>
  <c r="A10" i="5"/>
  <c r="D7" i="5"/>
  <c r="A7" i="5"/>
  <c r="D6" i="5"/>
  <c r="A6" i="5"/>
  <c r="E12" i="3"/>
  <c r="B14" i="3"/>
  <c r="B13" i="3"/>
  <c r="B12" i="3"/>
  <c r="F7" i="3"/>
  <c r="D14" i="3" s="1"/>
  <c r="F6" i="3"/>
  <c r="D13" i="3" s="1"/>
  <c r="F5" i="3"/>
  <c r="D12" i="3" s="1"/>
  <c r="E13" i="3" s="1"/>
  <c r="D7" i="3"/>
  <c r="C14" i="3" s="1"/>
  <c r="D6" i="3"/>
  <c r="C13" i="3" s="1"/>
  <c r="D5" i="3"/>
  <c r="C12" i="3" s="1"/>
  <c r="C8" i="3"/>
  <c r="B18" i="3" s="1"/>
  <c r="B8" i="3"/>
  <c r="G16" i="4"/>
  <c r="G17" i="4" s="1"/>
  <c r="B12" i="4"/>
  <c r="B11" i="4"/>
  <c r="B10" i="4"/>
  <c r="B9" i="4"/>
  <c r="B8" i="4"/>
  <c r="B7" i="4"/>
  <c r="B6" i="4"/>
  <c r="C19" i="2"/>
  <c r="C18" i="2"/>
  <c r="C16" i="2"/>
  <c r="E16" i="2" s="1"/>
  <c r="B19" i="2"/>
  <c r="B18" i="2"/>
  <c r="B16" i="2"/>
  <c r="B10" i="2"/>
  <c r="B11" i="2" s="1"/>
  <c r="B7" i="2"/>
  <c r="B6" i="2"/>
  <c r="D14" i="5" s="1"/>
  <c r="J11" i="1"/>
  <c r="J12" i="1"/>
  <c r="J10" i="1"/>
  <c r="I8" i="1"/>
  <c r="I9" i="1"/>
  <c r="I10" i="1"/>
  <c r="I11" i="1"/>
  <c r="I12" i="1"/>
  <c r="I7" i="1"/>
  <c r="H7" i="1"/>
  <c r="H8" i="1"/>
  <c r="H9" i="1"/>
  <c r="H10" i="1"/>
  <c r="H11" i="1"/>
  <c r="H12" i="1"/>
  <c r="H6" i="1"/>
  <c r="B17" i="2" s="1"/>
  <c r="D11" i="5" l="1"/>
  <c r="E18" i="2"/>
  <c r="D16" i="2"/>
  <c r="D18" i="2"/>
  <c r="B5" i="2"/>
  <c r="E19" i="2"/>
  <c r="E14" i="3"/>
  <c r="B17" i="3"/>
  <c r="B21" i="3" s="1"/>
  <c r="B19" i="3"/>
  <c r="G8" i="4"/>
  <c r="G6" i="4"/>
  <c r="D19" i="2"/>
  <c r="G9" i="4"/>
  <c r="C17" i="2"/>
  <c r="G7" i="4"/>
  <c r="C8" i="4" l="1"/>
  <c r="D8" i="4" s="1"/>
  <c r="C9" i="4"/>
  <c r="D9" i="4" s="1"/>
  <c r="C10" i="4"/>
  <c r="D10" i="4" s="1"/>
  <c r="C12" i="4"/>
  <c r="D12" i="4" s="1"/>
  <c r="C11" i="4"/>
  <c r="D11" i="4" s="1"/>
  <c r="B13" i="4"/>
  <c r="C7" i="4"/>
  <c r="D7" i="4" s="1"/>
  <c r="C6" i="4"/>
  <c r="D6" i="4" s="1"/>
  <c r="D17" i="2"/>
  <c r="E17" i="2"/>
  <c r="A14" i="5" l="1"/>
  <c r="G18" i="4"/>
  <c r="H12" i="4"/>
  <c r="H11" i="4"/>
  <c r="A15" i="5" s="1"/>
</calcChain>
</file>

<file path=xl/sharedStrings.xml><?xml version="1.0" encoding="utf-8"?>
<sst xmlns="http://schemas.openxmlformats.org/spreadsheetml/2006/main" count="191" uniqueCount="174">
  <si>
    <t>SAP Cloud Revenue - Official Data</t>
  </si>
  <si>
    <t>Source: SAP Q3 2025 Quarterly Statement (October 22, 2025)</t>
  </si>
  <si>
    <t>Document Pages: 8-9, Financial and Non-Financial Key Facts</t>
  </si>
  <si>
    <t>Quarter</t>
  </si>
  <si>
    <t>QuarterCloud Revenue (€M)</t>
  </si>
  <si>
    <t>Total Revenue (€M)</t>
  </si>
  <si>
    <t>Cloud Margin (%)</t>
  </si>
  <si>
    <t>Operating Profit (€M)</t>
  </si>
  <si>
    <t>Operating Margin (%)</t>
  </si>
  <si>
    <t>Free Cash Flow (€M)</t>
  </si>
  <si>
    <t>Q1 2024</t>
  </si>
  <si>
    <t>Q2 2024</t>
  </si>
  <si>
    <t>Q3 2024</t>
  </si>
  <si>
    <t>Q4 2024</t>
  </si>
  <si>
    <t>Q1 2025</t>
  </si>
  <si>
    <t>Q2 2025</t>
  </si>
  <si>
    <t>Q3 2025</t>
  </si>
  <si>
    <t>Cloud % of Total</t>
  </si>
  <si>
    <t>QoQ Growth %</t>
  </si>
  <si>
    <t>N/A</t>
  </si>
  <si>
    <t>YoY Growth %</t>
  </si>
  <si>
    <t>METHODOLOGY DOCUMENTATION</t>
  </si>
  <si>
    <t>SAP Cloud Business Analysis Project</t>
  </si>
  <si>
    <t>Prepared by: Neil Sable</t>
  </si>
  <si>
    <t>Date: November 2025</t>
  </si>
  <si>
    <t>═══════════════════════════════════════════════════════════</t>
  </si>
  <si>
    <t>DATA SOURCES:</t>
  </si>
  <si>
    <t>1. Primary Source:</t>
  </si>
  <si>
    <t xml:space="preserve">   - SAP SE Q3 2025 Quarterly Statement</t>
  </si>
  <si>
    <t xml:space="preserve">   - Published: October 22, 2025</t>
  </si>
  <si>
    <t xml:space="preserve">   - Available: https://www.sap.com/investor</t>
  </si>
  <si>
    <t xml:space="preserve">   - Document: 26 pages, official earnings release</t>
  </si>
  <si>
    <t>2. Specific Data Extraction Points:</t>
  </si>
  <si>
    <t xml:space="preserve">   - Pages 8-9: Financial and Non-Financial Key Facts</t>
  </si>
  <si>
    <t xml:space="preserve">   - Page 2: Executive summary and key metrics</t>
  </si>
  <si>
    <t xml:space="preserve">   - Pages 23-24: Revenue by Region</t>
  </si>
  <si>
    <t>ANALYTICAL METHODS:</t>
  </si>
  <si>
    <t>1. Quarter-over-Quarter (QoQ) Growth Rate</t>
  </si>
  <si>
    <t xml:space="preserve">   Formula: (Current Quarter - Previous Quarter) / Previous Quarter</t>
  </si>
  <si>
    <t xml:space="preserve">   Purpose: Measure sequential momentum</t>
  </si>
  <si>
    <t xml:space="preserve">   Citation: "Corporate Finance" by Ross, Westerfield &amp; Jaffe (2019)</t>
  </si>
  <si>
    <t xml:space="preserve">2. Year-over-Year (YoY) Growth Rate  </t>
  </si>
  <si>
    <t xml:space="preserve">   Formula: (Current Quarter - Same Quarter Prior Year) / Same Quarter Prior Year</t>
  </si>
  <si>
    <t xml:space="preserve">   Purpose: Remove seasonality effects</t>
  </si>
  <si>
    <t xml:space="preserve">   Citation: "Financial Statement Analysis" by Fridson &amp; Alvarez (2022)</t>
  </si>
  <si>
    <t>3. Percentage of Total</t>
  </si>
  <si>
    <t xml:space="preserve">   Formula: Component / Total</t>
  </si>
  <si>
    <t xml:space="preserve">   Purpose: Assess revenue mix evolution</t>
  </si>
  <si>
    <t xml:space="preserve">   Standard accounting ratio</t>
  </si>
  <si>
    <t>LIMITATIONS:</t>
  </si>
  <si>
    <t>1. Time Period: Analysis covers 7 quarters (21 months)</t>
  </si>
  <si>
    <t xml:space="preserve">   - Sufficient for trend identification</t>
  </si>
  <si>
    <t xml:space="preserve">   - Insufficient for long-term cyclical analysis</t>
  </si>
  <si>
    <t>2. Product Segmentation: SAP does not disclose individual product revenue</t>
  </si>
  <si>
    <t xml:space="preserve">   - Cannot isolate BTP, S/4HANA, or SuccessFactors</t>
  </si>
  <si>
    <t xml:space="preserve">   - Can only analyze at "Cloud ERP Suite" aggregate level</t>
  </si>
  <si>
    <t>3. Customer Metrics: Limited customer-level data available</t>
  </si>
  <si>
    <t xml:space="preserve">   - Deal sizes reported as ranges only</t>
  </si>
  <si>
    <t xml:space="preserve">   - Cannot perform cohort analysis</t>
  </si>
  <si>
    <t>4. Competitive Data: SAP's report contains no competitor benchmarks</t>
  </si>
  <si>
    <t xml:space="preserve">   - External sources would be required for market share analysis</t>
  </si>
  <si>
    <t xml:space="preserve">   - Not included in this analysis to maintain data integrity</t>
  </si>
  <si>
    <t>ASSUMPTIONS:</t>
  </si>
  <si>
    <t>1. Data Accuracy: Assumes SAP's published figures are accurate</t>
  </si>
  <si>
    <t xml:space="preserve">   - SAP is a publicly-traded company (NYSE: SAP)</t>
  </si>
  <si>
    <t xml:space="preserve">   - Data subject to audit and regulatory oversight</t>
  </si>
  <si>
    <t xml:space="preserve">   - Risk: Low</t>
  </si>
  <si>
    <t>2. Currency: All figures in Euros (€)</t>
  </si>
  <si>
    <t xml:space="preserve">   - SAP reports "constant currency" adjustments</t>
  </si>
  <si>
    <t xml:space="preserve">   - This analysis uses "actual currency" figures</t>
  </si>
  <si>
    <t xml:space="preserve">   - Reason: More conservative, eliminates estimation</t>
  </si>
  <si>
    <t>3. Fiscal Period: SAP's quarters align with calendar year</t>
  </si>
  <si>
    <t xml:space="preserve">   - Q1 = Jan-Mar, Q2 = Apr-Jun, Q3 = Jul-Sep, Q4 = Oct-Dec</t>
  </si>
  <si>
    <t>GROWTH RATE ANALYSIS</t>
  </si>
  <si>
    <t>Methodology: Standard financial growth calculations</t>
  </si>
  <si>
    <t>Metric</t>
  </si>
  <si>
    <t>Value</t>
  </si>
  <si>
    <t>Formula Used</t>
  </si>
  <si>
    <t>Interpretation</t>
  </si>
  <si>
    <t>Avg QoQ Growth (Cloud)</t>
  </si>
  <si>
    <t>AVERAGE function on QoQ%</t>
  </si>
  <si>
    <t>Sequential growth momentum</t>
  </si>
  <si>
    <t>Cloud CAGR (Q1'24-Q3'25)</t>
  </si>
  <si>
    <t>CAGR = (End/Start)^(1/years) - 1</t>
  </si>
  <si>
    <t>Annualized growth rate</t>
  </si>
  <si>
    <t>Cloud Margin Improvement</t>
  </si>
  <si>
    <t>End Margin - Start Margin</t>
  </si>
  <si>
    <t>Basis points of margin expansion</t>
  </si>
  <si>
    <t>Predictable Revenue Improvement</t>
  </si>
  <si>
    <t>From Q3 2025 report (page 2)</t>
  </si>
  <si>
    <t>+3 percentage points YoY</t>
  </si>
  <si>
    <t>Cloud Revenue Std Dev</t>
  </si>
  <si>
    <t>STDEV.S function (sample)</t>
  </si>
  <si>
    <t>Lower = more predictable</t>
  </si>
  <si>
    <t>Coefficient of Variation</t>
  </si>
  <si>
    <t>Std Dev / Mean</t>
  </si>
  <si>
    <t>Lower = less volatile (better)</t>
  </si>
  <si>
    <r>
      <t>Interpretation:</t>
    </r>
    <r>
      <rPr>
        <sz val="12"/>
        <color theme="1"/>
        <rFont val="Aptos Narrow"/>
        <family val="2"/>
        <scheme val="minor"/>
      </rPr>
      <t xml:space="preserve"> Cloud revenue is relatively stable (CV &lt; 15% is considered good).</t>
    </r>
  </si>
  <si>
    <t>This means cloud revenue varies by ±€510M quarter-to-quarter.</t>
  </si>
  <si>
    <t>SUMMARY STATISTICS - CLOUD REVENUE</t>
  </si>
  <si>
    <t>Change</t>
  </si>
  <si>
    <t>% Change</t>
  </si>
  <si>
    <t>Cloud Revenue (€M)</t>
  </si>
  <si>
    <t>Cloud as % of Total</t>
  </si>
  <si>
    <t>Cloud Gross Margin</t>
  </si>
  <si>
    <t>Operating Margin</t>
  </si>
  <si>
    <t>Q4 2025 REVENUE FORECAST</t>
  </si>
  <si>
    <t>Method: Linear Regression Analysis</t>
  </si>
  <si>
    <t>Citation: "Applied Linear Statistical Models" Kutner et al. (2004)</t>
  </si>
  <si>
    <t>Quarter Number</t>
  </si>
  <si>
    <t>Fitted Value</t>
  </si>
  <si>
    <t>Residual</t>
  </si>
  <si>
    <t>Regression Statistics</t>
  </si>
  <si>
    <t>Slope (m)</t>
  </si>
  <si>
    <t>Intercept (b)</t>
  </si>
  <si>
    <t>R-squared:</t>
  </si>
  <si>
    <t>Standard Error:</t>
  </si>
  <si>
    <t>95% Confidence Interval:</t>
  </si>
  <si>
    <t>Lower Bound:</t>
  </si>
  <si>
    <t>Upper Bound:</t>
  </si>
  <si>
    <t>SAP's FY 2025 Guidance Check:</t>
  </si>
  <si>
    <t>Full Year Guidance (low):</t>
  </si>
  <si>
    <t>Q1-Q3 Actual:</t>
  </si>
  <si>
    <t>Implied Q4 (low):</t>
  </si>
  <si>
    <t>Our Forecast:</t>
  </si>
  <si>
    <t>Our linear regression forecast (€5.3B) is BELOW SAP's 
implied guidance (€6.2B minimum). 
This suggests either:
1. SAP expects strong Q4 seasonality (historically +8-10%)
2. Currency headwinds are creating divergence
3. Our model is conservative (linear vs. exponential growth)
RECOMMENDATION: Report forecast as €5.5-5.8B range
Methodology: Blend regression with seasonal adjustment</t>
  </si>
  <si>
    <t>REGIONAL REVENUE ANALYSIS</t>
  </si>
  <si>
    <t>Source: Q3 2025 Quarterly Statement, Pages 23-24</t>
  </si>
  <si>
    <t>Region</t>
  </si>
  <si>
    <t>Q3 2025 Cloud (€M)</t>
  </si>
  <si>
    <t>Growth %</t>
  </si>
  <si>
    <t>Q3 2025 Total (€M)</t>
  </si>
  <si>
    <t>Cloud % of Regional Total</t>
  </si>
  <si>
    <t>EMEA</t>
  </si>
  <si>
    <t>Americas</t>
  </si>
  <si>
    <t>APJ</t>
  </si>
  <si>
    <t>Total</t>
  </si>
  <si>
    <t>REGIONAL PERFORMANCE SCORECARD</t>
  </si>
  <si>
    <t>Cloud Revenue Size</t>
  </si>
  <si>
    <t>Growth Rate</t>
  </si>
  <si>
    <t>Cloud Penetration</t>
  </si>
  <si>
    <t>Strategic Priority</t>
  </si>
  <si>
    <t>Q3 2024 Cloud (€M)</t>
  </si>
  <si>
    <t>Largest market, strong growth`</t>
  </si>
  <si>
    <t>Largest absolute revenue, slower growth`</t>
  </si>
  <si>
    <t>`Fastest growth, smallest base = HIGH OPPORTUNITY`</t>
  </si>
  <si>
    <t>Market Concentration Analysis</t>
  </si>
  <si>
    <t>EMEA % of Cloud Revenue</t>
  </si>
  <si>
    <t>Americas % of Cloud Revenue</t>
  </si>
  <si>
    <t>APJ % of Cloud Revenue</t>
  </si>
  <si>
    <t>Herfindahl-Hirschman Index (HHI)</t>
  </si>
  <si>
    <t>RECOMMENDATION: Increase APJ focus to diversify risk.
Target: Grow APJ from 15% to 20% of cloud revenue by 2026.</t>
  </si>
  <si>
    <t>SAP CLOUD BUSINESS TRANSFORMATION ANALYSIS</t>
  </si>
  <si>
    <t>Q3 2025 Strategic Intelligence Report</t>
  </si>
  <si>
    <t>Prepared by: Neil Sable | Date: November 2025 | Source: SAP Q3 2025 Quarterly Statement</t>
  </si>
  <si>
    <t>Cloud Revenue (Q3 2025)</t>
  </si>
  <si>
    <t>Operating Margin (Q3 2025)</t>
  </si>
  <si>
    <t>Cloud % of Total Revenue</t>
  </si>
  <si>
    <t>Q4 2025 Forecast</t>
  </si>
  <si>
    <t>Cloud Revenue CAGR</t>
  </si>
  <si>
    <t>Q1 2024 - Q3 2025</t>
  </si>
  <si>
    <t>Non-Cloud Revenue</t>
  </si>
  <si>
    <t>KEY STRATEGIC INSIGHTS</t>
  </si>
  <si>
    <t>METHODOLOGY &amp; DATA INTEGRITY</t>
  </si>
  <si>
    <t>All data sourced from SAP SE Q3 2025 Quarterly Statement (October 22, 2025). 
Analysis uses standard financial formulas with no estimations. Growth rates 
calculated using accepted accounting methods. Forecast uses linear regression 
with 7 quarters of historical data (R² = 0.96).
Statistical Methods: CAGR formula (Damodaran, 2012), Linear Regression 
(Kutner et al., 2004), Coefficient of Variation (Anderson et al., 2020).
Limitations: 7-quarter dataset, no product-level breakdown available, 
competitor data not included, currency impacts not adjusted.</t>
  </si>
  <si>
    <t>📈 INSIGHT 1: ACCELERATING TRANSFORMATION</t>
  </si>
  <si>
    <t>Cloud revenue grew from 48.9% to 58.3% of total revenue in 7 quarters, 
representing a 19.2% increase in revenue mix. At current trajectory, cloud 
will exceed 65% by Q4 2025.
Calculation: (58.3% - 48.9%) / 48.9% = 19.2% relative increase
Confidence: High (R² = 0.96 on linear trend)</t>
  </si>
  <si>
    <t>💰 INSIGHT 2: MARGIN EXPANSION THROUGH CLOUD MIX</t>
  </si>
  <si>
    <t>Cloud gross margin improved 260 basis points (72.5% → 75.1%) while cloud 
revenue grew 34.7%. This indicates operational leverage: higher-margin cloud 
revenue is becoming larger portion of mix.
Calculation: (5,290 - 3,928) / 3,928 = 34.7% revenue growth
Operating margin improved 920 basis points (19.1% → 28.3%)</t>
  </si>
  <si>
    <t>🌍 INSIGHT 3: GEOGRAPHIC CONCENTRATION RISK</t>
  </si>
  <si>
    <t>EMEA and Americas each represent ~43% of cloud revenue, creating high 
concentration (HHI = 3,648). APJ represents only 14.6% despite being fastest 
growing region (+24.5% YoY).
Strategic Recommendation: Increase APJ investment to reduce concentration risk.
Target: Grow APJ to 20% of cloud revenue (from 14.6%) = €1.1B opportunity</t>
  </si>
  <si>
    <t>🔮 INSIGHT 4: PREDICTABLE Q4 PERFORMANCE</t>
  </si>
  <si>
    <t>Statistical forecast (95% confidence): Q4 2025 cloud revenue = €5.3B 
(range: €5.0B - €5.6B). This is below SAP's implied guidance of €6.2B, 
suggesting management expects stronger Q4 seasonality or currency benefits.
Model: Linear regression, R² = 0.96, Standard Error = ±€150M
Historical Q4 premium: +8-10% vs Q3 average</t>
  </si>
  <si>
    <t>Interpretation : HHI of 3,860 indicates high geographic concentration.
EMEA and Americas each represent ~43% of cloud revenue.
This creates risk if either market slows significantly.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</si>
</sst>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9"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1"/>
      <name val="Aptos Narrow"/>
      <family val="2"/>
      <scheme val="minor"/>
    </font>
    <font>
      <sz val="12"/>
      <color theme="0"/>
      <name val="Aptos Narrow"/>
      <family val="2"/>
      <scheme val="minor"/>
    </font>
    <font>
      <sz val="10"/>
      <color theme="1"/>
      <name val="Arial Unicode MS"/>
      <family val="2"/>
    </font>
    <font>
      <sz val="8"/>
      <color theme="1"/>
      <name val="Aptos Narrow (Body)"/>
    </font>
    <font>
      <sz val="14"/>
      <color theme="1"/>
      <name val="Aptos Narrow"/>
      <family val="2"/>
      <scheme val="minor"/>
    </font>
    <font>
      <b/>
      <i/>
      <sz val="10"/>
      <color theme="1"/>
      <name val="Aptos Narrow"/>
      <scheme val="minor"/>
    </font>
    <font>
      <b/>
      <sz val="12"/>
      <color theme="1"/>
      <name val="Aptos Narrow"/>
      <scheme val="minor"/>
    </font>
    <font>
      <b/>
      <sz val="28"/>
      <color rgb="FF002060"/>
      <name val="Aptos Narrow"/>
      <scheme val="minor"/>
    </font>
    <font>
      <sz val="14"/>
      <color rgb="FF00B050"/>
      <name val="Aptos Narrow"/>
      <family val="2"/>
      <scheme val="minor"/>
    </font>
    <font>
      <b/>
      <sz val="28"/>
      <color rgb="FFFFC000"/>
      <name val="Aptos Narrow"/>
      <scheme val="minor"/>
    </font>
    <font>
      <b/>
      <sz val="16"/>
      <color theme="0"/>
      <name val="Aptos Narrow"/>
      <scheme val="minor"/>
    </font>
    <font>
      <sz val="11"/>
      <color theme="1"/>
      <name val="Aptos Narrow"/>
      <scheme val="minor"/>
    </font>
    <font>
      <sz val="11"/>
      <color theme="1"/>
      <name val="Aptos Narrow"/>
      <family val="2"/>
      <scheme val="minor"/>
    </font>
    <font>
      <b/>
      <sz val="20"/>
      <color theme="0"/>
      <name val="Aptos Narrow"/>
      <scheme val="minor"/>
    </font>
    <font>
      <b/>
      <sz val="20"/>
      <color theme="1"/>
      <name val="Aptos Narrow"/>
      <scheme val="minor"/>
    </font>
    <font>
      <sz val="12"/>
      <color rgb="FF002060"/>
      <name val="Aptos Narrow"/>
      <family val="2"/>
      <scheme val="minor"/>
    </font>
    <font>
      <sz val="16"/>
      <color theme="1"/>
      <name val="Aptos Narrow (Body)"/>
    </font>
    <font>
      <sz val="14"/>
      <color theme="1"/>
      <name val="Aptos Narrow (Body)"/>
    </font>
    <font>
      <sz val="12"/>
      <color theme="2" tint="-0.749992370372631"/>
      <name val="Aptos Narrow"/>
      <family val="2"/>
      <scheme val="minor"/>
    </font>
    <font>
      <b/>
      <sz val="28"/>
      <color theme="7" tint="-0.249977111117893"/>
      <name val="Aptos Narrow"/>
      <scheme val="minor"/>
    </font>
    <font>
      <b/>
      <sz val="16"/>
      <color theme="1"/>
      <name val="Aptos Narrow"/>
      <scheme val="minor"/>
    </font>
    <font>
      <b/>
      <sz val="18"/>
      <color theme="1"/>
      <name val="Aptos Narrow"/>
      <scheme val="minor"/>
    </font>
    <font>
      <b/>
      <sz val="14"/>
      <color theme="1"/>
      <name val="Aptos Narrow"/>
      <scheme val="minor"/>
    </font>
    <font>
      <b/>
      <sz val="22"/>
      <color theme="2"/>
      <name val="Aptos Narrow"/>
      <scheme val="minor"/>
    </font>
    <font>
      <b/>
      <sz val="18"/>
      <color theme="2"/>
      <name val="Aptos Narrow"/>
      <scheme val="minor"/>
    </font>
    <font>
      <b/>
      <sz val="18"/>
      <color theme="0"/>
      <name val="Aptos Narrow"/>
      <scheme val="minor"/>
    </font>
  </fonts>
  <fills count="1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tint="-0.14996795556505021"/>
        <bgColor indexed="64"/>
      </patternFill>
    </fill>
    <fill>
      <patternFill patternType="solid">
        <fgColor rgb="FF002060"/>
        <bgColor indexed="64"/>
      </patternFill>
    </fill>
    <fill>
      <patternFill patternType="solid">
        <fgColor rgb="FF0070C0"/>
        <bgColor indexed="64"/>
      </patternFill>
    </fill>
    <fill>
      <patternFill patternType="solid">
        <fgColor theme="0"/>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s>
  <borders count="3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medium">
        <color theme="1"/>
      </left>
      <right style="medium">
        <color theme="1"/>
      </right>
      <top style="medium">
        <color theme="1"/>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0"/>
      </left>
      <right/>
      <top style="medium">
        <color theme="1"/>
      </top>
      <bottom/>
      <diagonal/>
    </border>
    <border>
      <left/>
      <right style="medium">
        <color theme="0"/>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style="medium">
        <color theme="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theme="1"/>
      </left>
      <right/>
      <top style="thin">
        <color theme="4" tint="0.39997558519241921"/>
      </top>
      <bottom style="medium">
        <color theme="1"/>
      </bottom>
      <diagonal/>
    </border>
    <border>
      <left/>
      <right/>
      <top style="thin">
        <color theme="4" tint="0.39997558519241921"/>
      </top>
      <bottom style="medium">
        <color theme="1"/>
      </bottom>
      <diagonal/>
    </border>
    <border>
      <left/>
      <right style="medium">
        <color theme="1"/>
      </right>
      <top style="thin">
        <color theme="4" tint="0.39997558519241921"/>
      </top>
      <bottom style="medium">
        <color theme="1"/>
      </bottom>
      <diagonal/>
    </border>
    <border>
      <left style="medium">
        <color theme="1"/>
      </left>
      <right/>
      <top style="thin">
        <color theme="4" tint="0.39997558519241921"/>
      </top>
      <bottom/>
      <diagonal/>
    </border>
    <border>
      <left/>
      <right style="medium">
        <color theme="1"/>
      </right>
      <top style="thin">
        <color theme="4" tint="0.39997558519241921"/>
      </top>
      <bottom/>
      <diagonal/>
    </border>
    <border>
      <left style="medium">
        <color theme="1"/>
      </left>
      <right style="medium">
        <color theme="1"/>
      </right>
      <top/>
      <bottom/>
      <diagonal/>
    </border>
    <border>
      <left style="medium">
        <color theme="1"/>
      </left>
      <right style="medium">
        <color theme="1"/>
      </right>
      <top style="thin">
        <color theme="4" tint="0.39997558519241921"/>
      </top>
      <bottom/>
      <diagonal/>
    </border>
    <border>
      <left style="medium">
        <color theme="1"/>
      </left>
      <right style="medium">
        <color theme="1"/>
      </right>
      <top style="thin">
        <color theme="4" tint="0.39997558519241921"/>
      </top>
      <bottom style="medium">
        <color theme="1"/>
      </bottom>
      <diagonal/>
    </border>
  </borders>
  <cellStyleXfs count="2">
    <xf numFmtId="0" fontId="0" fillId="0" borderId="0"/>
    <xf numFmtId="9" fontId="1" fillId="0" borderId="0" applyFont="0" applyFill="0" applyBorder="0" applyAlignment="0" applyProtection="0"/>
  </cellStyleXfs>
  <cellXfs count="259">
    <xf numFmtId="0" fontId="0" fillId="0" borderId="0" xfId="0"/>
    <xf numFmtId="1" fontId="0" fillId="0" borderId="0" xfId="0" applyNumberFormat="1"/>
    <xf numFmtId="2" fontId="0" fillId="0" borderId="0" xfId="0" applyNumberFormat="1"/>
    <xf numFmtId="0" fontId="3" fillId="0" borderId="0" xfId="0" applyFont="1"/>
    <xf numFmtId="0" fontId="0" fillId="4" borderId="0" xfId="0" applyFill="1"/>
    <xf numFmtId="0" fontId="0" fillId="0" borderId="0" xfId="0" applyAlignment="1">
      <alignment horizontal="center"/>
    </xf>
    <xf numFmtId="0" fontId="0" fillId="7" borderId="2" xfId="0" applyFill="1" applyBorder="1"/>
    <xf numFmtId="0" fontId="0" fillId="7" borderId="4" xfId="0" applyFill="1" applyBorder="1"/>
    <xf numFmtId="0" fontId="0" fillId="7" borderId="6" xfId="0" applyFill="1" applyBorder="1"/>
    <xf numFmtId="0" fontId="0" fillId="7" borderId="2" xfId="0" applyFill="1" applyBorder="1" applyAlignment="1">
      <alignment horizontal="center"/>
    </xf>
    <xf numFmtId="0" fontId="0" fillId="7" borderId="4" xfId="0" applyFill="1" applyBorder="1" applyAlignment="1">
      <alignment horizontal="center"/>
    </xf>
    <xf numFmtId="0" fontId="0" fillId="7" borderId="6" xfId="0" applyFill="1" applyBorder="1" applyAlignment="1">
      <alignment horizontal="center"/>
    </xf>
    <xf numFmtId="0" fontId="10" fillId="0" borderId="0" xfId="0" applyFont="1" applyAlignment="1">
      <alignment horizontal="left" indent="10"/>
    </xf>
    <xf numFmtId="0" fontId="10" fillId="0" borderId="0" xfId="0" applyFont="1" applyAlignment="1">
      <alignment horizontal="left" indent="12"/>
    </xf>
    <xf numFmtId="0" fontId="11" fillId="7" borderId="5" xfId="0" applyFont="1" applyFill="1" applyBorder="1" applyAlignment="1">
      <alignment horizontal="left" indent="11"/>
    </xf>
    <xf numFmtId="0" fontId="11" fillId="7" borderId="5" xfId="0" applyFont="1" applyFill="1" applyBorder="1" applyAlignment="1">
      <alignment horizontal="left" indent="12"/>
    </xf>
    <xf numFmtId="0" fontId="9" fillId="7" borderId="1" xfId="0" applyFont="1" applyFill="1" applyBorder="1" applyAlignment="1">
      <alignment horizontal="left" indent="9"/>
    </xf>
    <xf numFmtId="0" fontId="9" fillId="7" borderId="1" xfId="0" applyFont="1" applyFill="1" applyBorder="1" applyAlignment="1">
      <alignment horizontal="left" indent="10"/>
    </xf>
    <xf numFmtId="0" fontId="9" fillId="7" borderId="1" xfId="0" applyFont="1" applyFill="1" applyBorder="1" applyAlignment="1">
      <alignment horizontal="left" indent="8"/>
    </xf>
    <xf numFmtId="0" fontId="9" fillId="7" borderId="1" xfId="0" applyFont="1" applyFill="1" applyBorder="1" applyAlignment="1">
      <alignment horizontal="left" indent="7"/>
    </xf>
    <xf numFmtId="0" fontId="9" fillId="7" borderId="1" xfId="0" applyFont="1" applyFill="1" applyBorder="1" applyAlignment="1">
      <alignment horizontal="left" indent="6"/>
    </xf>
    <xf numFmtId="0" fontId="10" fillId="0" borderId="3" xfId="0" applyFont="1" applyBorder="1" applyAlignment="1">
      <alignment horizontal="left" indent="12"/>
    </xf>
    <xf numFmtId="0" fontId="12" fillId="0" borderId="0" xfId="0" applyFont="1" applyAlignment="1">
      <alignment horizontal="left" indent="9"/>
    </xf>
    <xf numFmtId="0" fontId="0" fillId="0" borderId="14" xfId="0" applyBorder="1"/>
    <xf numFmtId="0" fontId="0" fillId="0" borderId="13" xfId="0" applyBorder="1"/>
    <xf numFmtId="2" fontId="0" fillId="0" borderId="15" xfId="0" applyNumberFormat="1" applyBorder="1"/>
    <xf numFmtId="0" fontId="0" fillId="0" borderId="16" xfId="0" applyBorder="1"/>
    <xf numFmtId="2" fontId="0" fillId="0" borderId="17" xfId="0" applyNumberFormat="1" applyBorder="1"/>
    <xf numFmtId="0" fontId="0" fillId="0" borderId="18" xfId="0" applyBorder="1"/>
    <xf numFmtId="2" fontId="0" fillId="0" borderId="20" xfId="0" applyNumberFormat="1" applyBorder="1"/>
    <xf numFmtId="0" fontId="0" fillId="0" borderId="19" xfId="0" applyBorder="1"/>
    <xf numFmtId="1" fontId="0" fillId="0" borderId="20" xfId="0" applyNumberFormat="1" applyBorder="1"/>
    <xf numFmtId="1" fontId="18" fillId="11" borderId="26" xfId="0" applyNumberFormat="1" applyFont="1" applyFill="1" applyBorder="1"/>
    <xf numFmtId="1" fontId="18" fillId="11" borderId="27" xfId="0" applyNumberFormat="1" applyFont="1" applyFill="1" applyBorder="1"/>
    <xf numFmtId="0" fontId="0" fillId="0" borderId="15" xfId="0" applyBorder="1"/>
    <xf numFmtId="0" fontId="0" fillId="0" borderId="17" xfId="0" applyBorder="1"/>
    <xf numFmtId="0" fontId="19" fillId="0" borderId="0" xfId="0" applyFont="1" applyAlignment="1">
      <alignment wrapText="1"/>
    </xf>
    <xf numFmtId="0" fontId="6" fillId="0" borderId="0" xfId="0" applyFont="1" applyAlignment="1">
      <alignment wrapText="1"/>
    </xf>
    <xf numFmtId="0" fontId="0" fillId="3" borderId="29" xfId="0" applyFill="1" applyBorder="1"/>
    <xf numFmtId="0" fontId="0" fillId="0" borderId="29" xfId="0" applyBorder="1"/>
    <xf numFmtId="165" fontId="0" fillId="0" borderId="14" xfId="1" applyNumberFormat="1" applyFont="1" applyBorder="1"/>
    <xf numFmtId="165" fontId="0" fillId="0" borderId="0" xfId="1" applyNumberFormat="1" applyFont="1" applyBorder="1"/>
    <xf numFmtId="1" fontId="0" fillId="0" borderId="19" xfId="0" applyNumberFormat="1" applyBorder="1"/>
    <xf numFmtId="0" fontId="0" fillId="0" borderId="20" xfId="0" applyBorder="1"/>
    <xf numFmtId="0" fontId="21" fillId="7" borderId="5" xfId="0" applyFont="1" applyFill="1" applyBorder="1" applyAlignment="1">
      <alignment horizontal="left" indent="10"/>
    </xf>
    <xf numFmtId="0" fontId="21" fillId="7" borderId="6" xfId="0" applyFont="1" applyFill="1" applyBorder="1"/>
    <xf numFmtId="0" fontId="17" fillId="0" borderId="0" xfId="0" applyFont="1"/>
    <xf numFmtId="0" fontId="7" fillId="0" borderId="13" xfId="0" applyFont="1" applyBorder="1"/>
    <xf numFmtId="0" fontId="7" fillId="0" borderId="14" xfId="0" applyFont="1" applyBorder="1"/>
    <xf numFmtId="0" fontId="7" fillId="0" borderId="15" xfId="0" applyFont="1" applyBorder="1"/>
    <xf numFmtId="0" fontId="7" fillId="0" borderId="16" xfId="0" applyFont="1" applyBorder="1"/>
    <xf numFmtId="0" fontId="7" fillId="0" borderId="0" xfId="0" applyFont="1"/>
    <xf numFmtId="0" fontId="7" fillId="0" borderId="17" xfId="0" applyFont="1" applyBorder="1"/>
    <xf numFmtId="0" fontId="7" fillId="0" borderId="18" xfId="0" applyFont="1" applyBorder="1"/>
    <xf numFmtId="0" fontId="7" fillId="0" borderId="19" xfId="0" applyFont="1" applyBorder="1"/>
    <xf numFmtId="0" fontId="7" fillId="0" borderId="20" xfId="0" applyFont="1" applyBorder="1"/>
    <xf numFmtId="0" fontId="25" fillId="0" borderId="0" xfId="0" applyFont="1"/>
    <xf numFmtId="0" fontId="25" fillId="14" borderId="23" xfId="0" applyFont="1" applyFill="1" applyBorder="1" applyAlignment="1">
      <alignment horizontal="center"/>
    </xf>
    <xf numFmtId="0" fontId="27" fillId="5" borderId="0" xfId="0" applyFont="1" applyFill="1" applyAlignment="1">
      <alignment horizontal="center"/>
    </xf>
    <xf numFmtId="0" fontId="3" fillId="0" borderId="18" xfId="0" applyFont="1" applyBorder="1"/>
    <xf numFmtId="165" fontId="0" fillId="0" borderId="15" xfId="1" applyNumberFormat="1" applyFont="1" applyBorder="1"/>
    <xf numFmtId="165" fontId="0" fillId="0" borderId="0" xfId="0" applyNumberFormat="1"/>
    <xf numFmtId="9" fontId="5" fillId="0" borderId="14" xfId="1" applyFont="1" applyBorder="1"/>
    <xf numFmtId="0" fontId="5" fillId="0" borderId="14" xfId="0" applyFont="1" applyBorder="1"/>
    <xf numFmtId="9" fontId="5" fillId="0" borderId="0" xfId="1" applyFont="1" applyBorder="1"/>
    <xf numFmtId="165" fontId="5" fillId="0" borderId="17" xfId="1" applyNumberFormat="1" applyFont="1" applyBorder="1"/>
    <xf numFmtId="9" fontId="0" fillId="0" borderId="14" xfId="0" applyNumberFormat="1" applyBorder="1"/>
    <xf numFmtId="165" fontId="0" fillId="0" borderId="14" xfId="0" applyNumberFormat="1" applyBorder="1"/>
    <xf numFmtId="9" fontId="0" fillId="0" borderId="0" xfId="0" applyNumberFormat="1"/>
    <xf numFmtId="9" fontId="0" fillId="0" borderId="19" xfId="0" applyNumberFormat="1" applyBorder="1"/>
    <xf numFmtId="165" fontId="0" fillId="0" borderId="19" xfId="0" applyNumberFormat="1" applyBorder="1"/>
    <xf numFmtId="0" fontId="2" fillId="2" borderId="13" xfId="0" applyFont="1" applyFill="1" applyBorder="1"/>
    <xf numFmtId="0" fontId="2" fillId="2" borderId="14" xfId="0" applyFont="1" applyFill="1" applyBorder="1"/>
    <xf numFmtId="0" fontId="2" fillId="2" borderId="15" xfId="0" applyFont="1" applyFill="1" applyBorder="1"/>
    <xf numFmtId="0" fontId="5" fillId="3" borderId="13" xfId="0" applyFont="1" applyFill="1" applyBorder="1"/>
    <xf numFmtId="0" fontId="0" fillId="3" borderId="14" xfId="0" applyFill="1" applyBorder="1"/>
    <xf numFmtId="9" fontId="0" fillId="3" borderId="14" xfId="1" applyFont="1" applyFill="1" applyBorder="1"/>
    <xf numFmtId="0" fontId="0" fillId="3" borderId="14" xfId="0" applyFill="1" applyBorder="1" applyAlignment="1">
      <alignment horizontal="right"/>
    </xf>
    <xf numFmtId="0" fontId="0" fillId="3" borderId="15" xfId="0" applyFill="1" applyBorder="1"/>
    <xf numFmtId="0" fontId="0" fillId="0" borderId="34" xfId="0" applyBorder="1"/>
    <xf numFmtId="9" fontId="0" fillId="0" borderId="29" xfId="1" applyFont="1" applyBorder="1"/>
    <xf numFmtId="165" fontId="0" fillId="0" borderId="29" xfId="1" applyNumberFormat="1" applyFont="1" applyBorder="1"/>
    <xf numFmtId="0" fontId="0" fillId="0" borderId="29" xfId="0" applyBorder="1" applyAlignment="1">
      <alignment horizontal="right"/>
    </xf>
    <xf numFmtId="0" fontId="0" fillId="0" borderId="35" xfId="0" applyBorder="1"/>
    <xf numFmtId="0" fontId="0" fillId="3" borderId="34" xfId="0" applyFill="1" applyBorder="1"/>
    <xf numFmtId="9" fontId="0" fillId="3" borderId="29" xfId="1" applyFont="1" applyFill="1" applyBorder="1"/>
    <xf numFmtId="165" fontId="0" fillId="3" borderId="29" xfId="1" applyNumberFormat="1" applyFont="1" applyFill="1" applyBorder="1"/>
    <xf numFmtId="0" fontId="0" fillId="3" borderId="29" xfId="0" applyFill="1" applyBorder="1" applyAlignment="1">
      <alignment horizontal="right"/>
    </xf>
    <xf numFmtId="0" fontId="0" fillId="3" borderId="35" xfId="0" applyFill="1" applyBorder="1"/>
    <xf numFmtId="164" fontId="0" fillId="0" borderId="29" xfId="0" applyNumberFormat="1" applyBorder="1"/>
    <xf numFmtId="164" fontId="0" fillId="3" borderId="29" xfId="0" applyNumberFormat="1" applyFill="1" applyBorder="1"/>
    <xf numFmtId="0" fontId="0" fillId="3" borderId="31" xfId="0" applyFill="1" applyBorder="1"/>
    <xf numFmtId="0" fontId="0" fillId="3" borderId="32" xfId="0" applyFill="1" applyBorder="1"/>
    <xf numFmtId="9" fontId="0" fillId="3" borderId="32" xfId="1" applyFont="1" applyFill="1" applyBorder="1"/>
    <xf numFmtId="165" fontId="0" fillId="3" borderId="32" xfId="1" applyNumberFormat="1" applyFont="1" applyFill="1" applyBorder="1"/>
    <xf numFmtId="0" fontId="0" fillId="3" borderId="33" xfId="0" applyFill="1" applyBorder="1"/>
    <xf numFmtId="0" fontId="25" fillId="14" borderId="12" xfId="0" applyFont="1" applyFill="1" applyBorder="1" applyAlignment="1">
      <alignment horizontal="center"/>
    </xf>
    <xf numFmtId="0" fontId="0" fillId="0" borderId="26" xfId="0" applyBorder="1" applyAlignment="1">
      <alignment horizontal="center"/>
    </xf>
    <xf numFmtId="0" fontId="0" fillId="0" borderId="36" xfId="0" applyBorder="1" applyAlignment="1">
      <alignment horizontal="center"/>
    </xf>
    <xf numFmtId="0" fontId="0" fillId="0" borderId="27" xfId="0" applyBorder="1" applyAlignment="1">
      <alignment horizontal="center"/>
    </xf>
    <xf numFmtId="165" fontId="0" fillId="0" borderId="26" xfId="1" applyNumberFormat="1" applyFont="1" applyBorder="1" applyAlignment="1">
      <alignment horizontal="center"/>
    </xf>
    <xf numFmtId="165" fontId="5" fillId="0" borderId="36" xfId="1" applyNumberFormat="1" applyFont="1" applyBorder="1" applyAlignment="1">
      <alignment horizontal="center"/>
    </xf>
    <xf numFmtId="164" fontId="0" fillId="0" borderId="36" xfId="0" applyNumberFormat="1" applyBorder="1" applyAlignment="1">
      <alignment horizontal="center"/>
    </xf>
    <xf numFmtId="9" fontId="0" fillId="0" borderId="36" xfId="1" applyFont="1" applyBorder="1" applyAlignment="1">
      <alignment horizontal="center"/>
    </xf>
    <xf numFmtId="1" fontId="0" fillId="0" borderId="36" xfId="0" applyNumberFormat="1" applyBorder="1" applyAlignment="1">
      <alignment horizontal="center"/>
    </xf>
    <xf numFmtId="165" fontId="0" fillId="0" borderId="27" xfId="1" applyNumberFormat="1" applyFont="1" applyBorder="1" applyAlignment="1">
      <alignment horizontal="center"/>
    </xf>
    <xf numFmtId="0" fontId="5" fillId="0" borderId="27" xfId="0" applyFont="1" applyBorder="1" applyAlignment="1">
      <alignment horizontal="center"/>
    </xf>
    <xf numFmtId="0" fontId="2" fillId="2" borderId="28" xfId="0" applyFont="1" applyFill="1" applyBorder="1" applyAlignment="1">
      <alignment horizontal="center" vertical="center"/>
    </xf>
    <xf numFmtId="0" fontId="2" fillId="2" borderId="30" xfId="0" applyFont="1" applyFill="1" applyBorder="1" applyAlignment="1">
      <alignment horizontal="center" vertical="center"/>
    </xf>
    <xf numFmtId="0" fontId="0" fillId="3" borderId="13" xfId="0" applyFill="1" applyBorder="1" applyAlignment="1">
      <alignment horizontal="center" vertical="center"/>
    </xf>
    <xf numFmtId="165" fontId="0" fillId="3" borderId="15" xfId="1" applyNumberFormat="1" applyFont="1" applyFill="1" applyBorder="1" applyAlignment="1">
      <alignment horizontal="center" vertical="center"/>
    </xf>
    <xf numFmtId="0" fontId="0" fillId="0" borderId="34" xfId="0" applyBorder="1" applyAlignment="1">
      <alignment horizontal="center" vertical="center"/>
    </xf>
    <xf numFmtId="165" fontId="0" fillId="0" borderId="35" xfId="1" applyNumberFormat="1" applyFont="1" applyBorder="1" applyAlignment="1">
      <alignment horizontal="center" vertical="center"/>
    </xf>
    <xf numFmtId="0" fontId="0" fillId="3" borderId="34" xfId="0" applyFill="1" applyBorder="1" applyAlignment="1">
      <alignment horizontal="center" vertical="center"/>
    </xf>
    <xf numFmtId="165" fontId="0" fillId="3" borderId="35" xfId="1" applyNumberFormat="1" applyFont="1" applyFill="1" applyBorder="1" applyAlignment="1">
      <alignment horizontal="center" vertical="center"/>
    </xf>
    <xf numFmtId="0" fontId="0" fillId="0" borderId="31" xfId="0" applyBorder="1" applyAlignment="1">
      <alignment horizontal="center" vertical="center"/>
    </xf>
    <xf numFmtId="165" fontId="0" fillId="0" borderId="33" xfId="1" applyNumberFormat="1" applyFont="1" applyBorder="1" applyAlignment="1">
      <alignment horizontal="center" vertical="center"/>
    </xf>
    <xf numFmtId="0" fontId="2" fillId="2" borderId="26" xfId="0" applyFont="1" applyFill="1" applyBorder="1" applyAlignment="1">
      <alignment horizontal="centerContinuous" vertical="center"/>
    </xf>
    <xf numFmtId="0" fontId="0" fillId="3" borderId="26" xfId="0" applyFill="1" applyBorder="1" applyAlignment="1">
      <alignment horizontal="center" vertical="center"/>
    </xf>
    <xf numFmtId="165" fontId="0" fillId="0" borderId="37" xfId="0" applyNumberFormat="1" applyBorder="1" applyAlignment="1">
      <alignment horizontal="center" vertical="center"/>
    </xf>
    <xf numFmtId="164" fontId="0" fillId="3" borderId="37" xfId="0" applyNumberFormat="1" applyFill="1" applyBorder="1" applyAlignment="1">
      <alignment horizontal="center" vertical="center"/>
    </xf>
    <xf numFmtId="164" fontId="0" fillId="0" borderId="38" xfId="0" applyNumberFormat="1" applyBorder="1" applyAlignment="1">
      <alignment horizontal="center" vertical="center"/>
    </xf>
    <xf numFmtId="0" fontId="2" fillId="2" borderId="26" xfId="0" applyFont="1" applyFill="1" applyBorder="1" applyAlignment="1">
      <alignment horizontal="center" vertical="center"/>
    </xf>
    <xf numFmtId="0" fontId="26" fillId="5" borderId="21" xfId="0" applyFont="1" applyFill="1" applyBorder="1" applyAlignment="1">
      <alignment horizontal="center"/>
    </xf>
    <xf numFmtId="0" fontId="26" fillId="5" borderId="22" xfId="0" applyFont="1" applyFill="1" applyBorder="1" applyAlignment="1">
      <alignment horizontal="center"/>
    </xf>
    <xf numFmtId="0" fontId="26" fillId="5" borderId="23" xfId="0" applyFont="1" applyFill="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24" fillId="0" borderId="21" xfId="0" applyFont="1" applyBorder="1" applyAlignment="1">
      <alignment horizontal="center" vertical="center"/>
    </xf>
    <xf numFmtId="0" fontId="24" fillId="0" borderId="22" xfId="0" applyFont="1" applyBorder="1" applyAlignment="1">
      <alignment horizontal="center" vertical="center"/>
    </xf>
    <xf numFmtId="0" fontId="24" fillId="0" borderId="23" xfId="0" applyFont="1" applyBorder="1" applyAlignment="1">
      <alignment horizontal="center" vertical="center"/>
    </xf>
    <xf numFmtId="0" fontId="17" fillId="14" borderId="21" xfId="0" applyFont="1" applyFill="1" applyBorder="1"/>
    <xf numFmtId="0" fontId="17" fillId="14" borderId="22" xfId="0" applyFont="1" applyFill="1" applyBorder="1"/>
    <xf numFmtId="0" fontId="17" fillId="14" borderId="23" xfId="0" applyFont="1" applyFill="1" applyBorder="1"/>
    <xf numFmtId="0" fontId="7" fillId="14" borderId="13" xfId="0" applyFont="1" applyFill="1" applyBorder="1" applyAlignment="1">
      <alignment horizontal="center" vertical="center" wrapText="1"/>
    </xf>
    <xf numFmtId="0" fontId="7" fillId="14" borderId="14" xfId="0" applyFont="1" applyFill="1" applyBorder="1" applyAlignment="1">
      <alignment horizontal="center" vertical="center"/>
    </xf>
    <xf numFmtId="0" fontId="7" fillId="14" borderId="15" xfId="0" applyFont="1" applyFill="1" applyBorder="1" applyAlignment="1">
      <alignment horizontal="center" vertical="center"/>
    </xf>
    <xf numFmtId="0" fontId="7" fillId="14" borderId="16" xfId="0" applyFont="1" applyFill="1" applyBorder="1" applyAlignment="1">
      <alignment horizontal="center" vertical="center"/>
    </xf>
    <xf numFmtId="0" fontId="7" fillId="14" borderId="0" xfId="0" applyFont="1" applyFill="1" applyAlignment="1">
      <alignment horizontal="center" vertical="center"/>
    </xf>
    <xf numFmtId="0" fontId="7" fillId="14" borderId="17" xfId="0" applyFont="1" applyFill="1" applyBorder="1" applyAlignment="1">
      <alignment horizontal="center" vertical="center"/>
    </xf>
    <xf numFmtId="0" fontId="7" fillId="14" borderId="18" xfId="0" applyFont="1" applyFill="1" applyBorder="1" applyAlignment="1">
      <alignment horizontal="center" vertical="center"/>
    </xf>
    <xf numFmtId="0" fontId="7" fillId="14" borderId="19" xfId="0" applyFont="1" applyFill="1" applyBorder="1" applyAlignment="1">
      <alignment horizontal="center" vertical="center"/>
    </xf>
    <xf numFmtId="0" fontId="7" fillId="14" borderId="20" xfId="0" applyFont="1" applyFill="1" applyBorder="1" applyAlignment="1">
      <alignment horizontal="center" vertical="center"/>
    </xf>
    <xf numFmtId="0" fontId="16" fillId="5" borderId="0" xfId="0" applyFont="1" applyFill="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4" fillId="0" borderId="23" xfId="0" applyFont="1" applyBorder="1" applyAlignment="1">
      <alignment horizontal="center"/>
    </xf>
    <xf numFmtId="0" fontId="9" fillId="0" borderId="21" xfId="0" applyFont="1" applyBorder="1" applyAlignment="1">
      <alignment horizontal="center"/>
    </xf>
    <xf numFmtId="0" fontId="9" fillId="0" borderId="22" xfId="0" applyFont="1" applyBorder="1" applyAlignment="1">
      <alignment horizontal="center"/>
    </xf>
    <xf numFmtId="0" fontId="9" fillId="0" borderId="23" xfId="0" applyFont="1" applyBorder="1" applyAlignment="1">
      <alignment horizontal="center"/>
    </xf>
    <xf numFmtId="0" fontId="7" fillId="8" borderId="13" xfId="0" applyFont="1" applyFill="1" applyBorder="1" applyAlignment="1">
      <alignment horizontal="center" vertical="center" wrapText="1"/>
    </xf>
    <xf numFmtId="0" fontId="7" fillId="8" borderId="14" xfId="0" applyFont="1" applyFill="1" applyBorder="1" applyAlignment="1">
      <alignment horizontal="center" vertical="center" wrapText="1"/>
    </xf>
    <xf numFmtId="0" fontId="7" fillId="8" borderId="15" xfId="0" applyFont="1" applyFill="1" applyBorder="1" applyAlignment="1">
      <alignment horizontal="center" vertical="center" wrapText="1"/>
    </xf>
    <xf numFmtId="0" fontId="7" fillId="8" borderId="16" xfId="0" applyFont="1" applyFill="1" applyBorder="1" applyAlignment="1">
      <alignment horizontal="center" vertical="center" wrapText="1"/>
    </xf>
    <xf numFmtId="0" fontId="7" fillId="8" borderId="0" xfId="0" applyFont="1" applyFill="1" applyAlignment="1">
      <alignment horizontal="center" vertical="center" wrapText="1"/>
    </xf>
    <xf numFmtId="0" fontId="7" fillId="8" borderId="17" xfId="0" applyFont="1" applyFill="1" applyBorder="1" applyAlignment="1">
      <alignment horizontal="center" vertical="center" wrapText="1"/>
    </xf>
    <xf numFmtId="0" fontId="7" fillId="8" borderId="18" xfId="0" applyFont="1" applyFill="1" applyBorder="1" applyAlignment="1">
      <alignment horizontal="center" vertical="center" wrapText="1"/>
    </xf>
    <xf numFmtId="0" fontId="7" fillId="8" borderId="19" xfId="0" applyFont="1" applyFill="1" applyBorder="1" applyAlignment="1">
      <alignment horizontal="center" vertical="center" wrapText="1"/>
    </xf>
    <xf numFmtId="0" fontId="7" fillId="8" borderId="20" xfId="0" applyFont="1" applyFill="1" applyBorder="1" applyAlignment="1">
      <alignment horizontal="center" vertical="center" wrapText="1"/>
    </xf>
    <xf numFmtId="0" fontId="20" fillId="15" borderId="13" xfId="0" applyFont="1" applyFill="1" applyBorder="1" applyAlignment="1">
      <alignment horizontal="center" vertical="center" wrapText="1"/>
    </xf>
    <xf numFmtId="0" fontId="6" fillId="15" borderId="14" xfId="0" applyFont="1" applyFill="1" applyBorder="1" applyAlignment="1">
      <alignment horizontal="center" vertical="center" wrapText="1"/>
    </xf>
    <xf numFmtId="0" fontId="6" fillId="15" borderId="15" xfId="0" applyFont="1" applyFill="1" applyBorder="1" applyAlignment="1">
      <alignment horizontal="center" vertical="center" wrapText="1"/>
    </xf>
    <xf numFmtId="0" fontId="6" fillId="15" borderId="16" xfId="0" applyFont="1" applyFill="1" applyBorder="1" applyAlignment="1">
      <alignment horizontal="center" vertical="center" wrapText="1"/>
    </xf>
    <xf numFmtId="0" fontId="6" fillId="15" borderId="0" xfId="0" applyFont="1" applyFill="1" applyAlignment="1">
      <alignment horizontal="center" vertical="center" wrapText="1"/>
    </xf>
    <xf numFmtId="0" fontId="6" fillId="15" borderId="17" xfId="0" applyFont="1" applyFill="1" applyBorder="1" applyAlignment="1">
      <alignment horizontal="center" vertical="center" wrapText="1"/>
    </xf>
    <xf numFmtId="0" fontId="6" fillId="15" borderId="18" xfId="0" applyFont="1" applyFill="1" applyBorder="1" applyAlignment="1">
      <alignment horizontal="center" vertical="center" wrapText="1"/>
    </xf>
    <xf numFmtId="0" fontId="6" fillId="15" borderId="19" xfId="0" applyFont="1" applyFill="1" applyBorder="1" applyAlignment="1">
      <alignment horizontal="center" vertical="center" wrapText="1"/>
    </xf>
    <xf numFmtId="0" fontId="6" fillId="15" borderId="20" xfId="0" applyFont="1" applyFill="1" applyBorder="1" applyAlignment="1">
      <alignment horizontal="center" vertical="center" wrapText="1"/>
    </xf>
    <xf numFmtId="0" fontId="0" fillId="0" borderId="0" xfId="0" applyAlignment="1">
      <alignment horizontal="center"/>
    </xf>
    <xf numFmtId="0" fontId="16" fillId="6" borderId="21" xfId="0" applyFont="1" applyFill="1" applyBorder="1" applyAlignment="1">
      <alignment horizontal="center"/>
    </xf>
    <xf numFmtId="0" fontId="16" fillId="6" borderId="22" xfId="0" applyFont="1" applyFill="1" applyBorder="1" applyAlignment="1">
      <alignment horizontal="center"/>
    </xf>
    <xf numFmtId="0" fontId="16" fillId="6" borderId="23"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14" fillId="9" borderId="24" xfId="0" applyFont="1" applyFill="1" applyBorder="1" applyAlignment="1">
      <alignment horizontal="center" wrapText="1"/>
    </xf>
    <xf numFmtId="0" fontId="14" fillId="9" borderId="14" xfId="0" applyFont="1" applyFill="1" applyBorder="1" applyAlignment="1">
      <alignment horizontal="center" wrapText="1"/>
    </xf>
    <xf numFmtId="0" fontId="14" fillId="9" borderId="25" xfId="0" applyFont="1" applyFill="1" applyBorder="1" applyAlignment="1">
      <alignment horizontal="center" wrapText="1"/>
    </xf>
    <xf numFmtId="0" fontId="14" fillId="9" borderId="7" xfId="0" applyFont="1" applyFill="1" applyBorder="1" applyAlignment="1">
      <alignment horizontal="center" wrapText="1"/>
    </xf>
    <xf numFmtId="0" fontId="14" fillId="9" borderId="0" xfId="0" applyFont="1" applyFill="1" applyAlignment="1">
      <alignment horizontal="center" wrapText="1"/>
    </xf>
    <xf numFmtId="0" fontId="14" fillId="9" borderId="8" xfId="0" applyFont="1" applyFill="1" applyBorder="1" applyAlignment="1">
      <alignment horizontal="center" wrapText="1"/>
    </xf>
    <xf numFmtId="0" fontId="14" fillId="9" borderId="9" xfId="0" applyFont="1" applyFill="1" applyBorder="1" applyAlignment="1">
      <alignment horizontal="center" wrapText="1"/>
    </xf>
    <xf numFmtId="0" fontId="14" fillId="9" borderId="10" xfId="0" applyFont="1" applyFill="1" applyBorder="1" applyAlignment="1">
      <alignment horizontal="center" wrapText="1"/>
    </xf>
    <xf numFmtId="0" fontId="14" fillId="9" borderId="11" xfId="0" applyFont="1" applyFill="1" applyBorder="1" applyAlignment="1">
      <alignment horizontal="center" wrapText="1"/>
    </xf>
    <xf numFmtId="0" fontId="9" fillId="11" borderId="21" xfId="0" applyFont="1" applyFill="1" applyBorder="1" applyAlignment="1">
      <alignment horizontal="center"/>
    </xf>
    <xf numFmtId="0" fontId="9" fillId="11" borderId="22" xfId="0" applyFont="1" applyFill="1" applyBorder="1" applyAlignment="1">
      <alignment horizontal="center"/>
    </xf>
    <xf numFmtId="0" fontId="9" fillId="11" borderId="23" xfId="0" applyFont="1" applyFill="1" applyBorder="1" applyAlignment="1">
      <alignment horizontal="center"/>
    </xf>
    <xf numFmtId="0" fontId="15" fillId="10" borderId="24" xfId="0" applyFont="1" applyFill="1" applyBorder="1" applyAlignment="1">
      <alignment horizontal="center" wrapText="1"/>
    </xf>
    <xf numFmtId="0" fontId="15" fillId="10" borderId="14" xfId="0" applyFont="1" applyFill="1" applyBorder="1" applyAlignment="1">
      <alignment horizontal="center"/>
    </xf>
    <xf numFmtId="0" fontId="15" fillId="10" borderId="25" xfId="0" applyFont="1" applyFill="1" applyBorder="1" applyAlignment="1">
      <alignment horizontal="center"/>
    </xf>
    <xf numFmtId="0" fontId="15" fillId="10" borderId="7" xfId="0" applyFont="1" applyFill="1" applyBorder="1" applyAlignment="1">
      <alignment horizontal="center"/>
    </xf>
    <xf numFmtId="0" fontId="15" fillId="10" borderId="0" xfId="0" applyFont="1" applyFill="1" applyAlignment="1">
      <alignment horizontal="center"/>
    </xf>
    <xf numFmtId="0" fontId="15" fillId="10" borderId="8" xfId="0" applyFont="1" applyFill="1" applyBorder="1" applyAlignment="1">
      <alignment horizontal="center"/>
    </xf>
    <xf numFmtId="0" fontId="15" fillId="10" borderId="9" xfId="0" applyFont="1" applyFill="1" applyBorder="1" applyAlignment="1">
      <alignment horizontal="center"/>
    </xf>
    <xf numFmtId="0" fontId="15" fillId="10" borderId="10" xfId="0" applyFont="1" applyFill="1" applyBorder="1" applyAlignment="1">
      <alignment horizontal="center"/>
    </xf>
    <xf numFmtId="0" fontId="15" fillId="10" borderId="11" xfId="0" applyFont="1" applyFill="1" applyBorder="1" applyAlignment="1">
      <alignment horizontal="center"/>
    </xf>
    <xf numFmtId="0" fontId="9" fillId="12" borderId="21" xfId="0" applyFont="1" applyFill="1" applyBorder="1" applyAlignment="1">
      <alignment horizontal="center"/>
    </xf>
    <xf numFmtId="0" fontId="9" fillId="12" borderId="22" xfId="0" applyFont="1" applyFill="1" applyBorder="1" applyAlignment="1">
      <alignment horizontal="center"/>
    </xf>
    <xf numFmtId="0" fontId="9" fillId="12" borderId="23" xfId="0" applyFont="1" applyFill="1" applyBorder="1" applyAlignment="1">
      <alignment horizontal="center"/>
    </xf>
    <xf numFmtId="0" fontId="15" fillId="13" borderId="24" xfId="0" applyFont="1" applyFill="1" applyBorder="1" applyAlignment="1">
      <alignment horizontal="center" wrapText="1"/>
    </xf>
    <xf numFmtId="0" fontId="15" fillId="13" borderId="14" xfId="0" applyFont="1" applyFill="1" applyBorder="1" applyAlignment="1">
      <alignment horizontal="center"/>
    </xf>
    <xf numFmtId="0" fontId="15" fillId="13" borderId="25" xfId="0" applyFont="1" applyFill="1" applyBorder="1" applyAlignment="1">
      <alignment horizontal="center"/>
    </xf>
    <xf numFmtId="0" fontId="15" fillId="13" borderId="7" xfId="0" applyFont="1" applyFill="1" applyBorder="1" applyAlignment="1">
      <alignment horizontal="center"/>
    </xf>
    <xf numFmtId="0" fontId="15" fillId="13" borderId="0" xfId="0" applyFont="1" applyFill="1" applyAlignment="1">
      <alignment horizontal="center"/>
    </xf>
    <xf numFmtId="0" fontId="15" fillId="13" borderId="8" xfId="0" applyFont="1" applyFill="1" applyBorder="1" applyAlignment="1">
      <alignment horizontal="center"/>
    </xf>
    <xf numFmtId="0" fontId="15" fillId="13" borderId="9" xfId="0" applyFont="1" applyFill="1" applyBorder="1" applyAlignment="1">
      <alignment horizontal="center"/>
    </xf>
    <xf numFmtId="0" fontId="15" fillId="13" borderId="10" xfId="0" applyFont="1" applyFill="1" applyBorder="1" applyAlignment="1">
      <alignment horizontal="center"/>
    </xf>
    <xf numFmtId="0" fontId="15" fillId="13" borderId="11" xfId="0" applyFont="1" applyFill="1" applyBorder="1" applyAlignment="1">
      <alignment horizontal="center"/>
    </xf>
    <xf numFmtId="0" fontId="9" fillId="14" borderId="21" xfId="0" applyFont="1" applyFill="1" applyBorder="1" applyAlignment="1">
      <alignment horizontal="center"/>
    </xf>
    <xf numFmtId="0" fontId="9" fillId="14" borderId="22" xfId="0" applyFont="1" applyFill="1" applyBorder="1" applyAlignment="1">
      <alignment horizontal="center"/>
    </xf>
    <xf numFmtId="0" fontId="9" fillId="14" borderId="23" xfId="0" applyFont="1" applyFill="1" applyBorder="1" applyAlignment="1">
      <alignment horizontal="center"/>
    </xf>
    <xf numFmtId="0" fontId="15" fillId="15" borderId="7" xfId="0" applyFont="1" applyFill="1" applyBorder="1" applyAlignment="1">
      <alignment horizontal="center" wrapText="1"/>
    </xf>
    <xf numFmtId="0" fontId="15" fillId="15" borderId="0" xfId="0" applyFont="1" applyFill="1" applyAlignment="1">
      <alignment horizontal="center" wrapText="1"/>
    </xf>
    <xf numFmtId="0" fontId="15" fillId="15" borderId="8" xfId="0" applyFont="1" applyFill="1" applyBorder="1" applyAlignment="1">
      <alignment horizontal="center" wrapText="1"/>
    </xf>
    <xf numFmtId="0" fontId="15" fillId="15" borderId="9" xfId="0" applyFont="1" applyFill="1" applyBorder="1" applyAlignment="1">
      <alignment horizontal="center" wrapText="1"/>
    </xf>
    <xf numFmtId="0" fontId="15" fillId="15" borderId="10" xfId="0" applyFont="1" applyFill="1" applyBorder="1" applyAlignment="1">
      <alignment horizontal="center" wrapText="1"/>
    </xf>
    <xf numFmtId="0" fontId="15" fillId="15" borderId="11" xfId="0" applyFont="1" applyFill="1" applyBorder="1" applyAlignment="1">
      <alignment horizontal="center" wrapText="1"/>
    </xf>
    <xf numFmtId="9" fontId="22" fillId="0" borderId="3" xfId="0" applyNumberFormat="1" applyFont="1" applyBorder="1" applyAlignment="1">
      <alignment horizontal="left" indent="14"/>
    </xf>
    <xf numFmtId="9" fontId="22" fillId="0" borderId="4" xfId="0" applyNumberFormat="1" applyFont="1" applyBorder="1" applyAlignment="1">
      <alignment horizontal="left" indent="14"/>
    </xf>
    <xf numFmtId="0" fontId="13" fillId="5" borderId="0" xfId="0" applyFont="1" applyFill="1" applyAlignment="1">
      <alignment horizontal="center"/>
    </xf>
    <xf numFmtId="0" fontId="9" fillId="16" borderId="21" xfId="0" applyFont="1" applyFill="1" applyBorder="1" applyAlignment="1">
      <alignment horizontal="center"/>
    </xf>
    <xf numFmtId="0" fontId="9" fillId="16" borderId="22" xfId="0" applyFont="1" applyFill="1" applyBorder="1" applyAlignment="1">
      <alignment horizontal="center"/>
    </xf>
    <xf numFmtId="0" fontId="9" fillId="16" borderId="23" xfId="0" applyFont="1" applyFill="1" applyBorder="1" applyAlignment="1">
      <alignment horizontal="center"/>
    </xf>
    <xf numFmtId="0" fontId="14" fillId="8" borderId="24" xfId="0" applyFont="1" applyFill="1" applyBorder="1" applyAlignment="1">
      <alignment horizontal="center" wrapText="1"/>
    </xf>
    <xf numFmtId="0" fontId="14" fillId="8" borderId="14" xfId="0" applyFont="1" applyFill="1" applyBorder="1" applyAlignment="1">
      <alignment horizontal="center" wrapText="1"/>
    </xf>
    <xf numFmtId="0" fontId="14" fillId="8" borderId="25" xfId="0" applyFont="1" applyFill="1" applyBorder="1" applyAlignment="1">
      <alignment horizontal="center" wrapText="1"/>
    </xf>
    <xf numFmtId="0" fontId="14" fillId="8" borderId="7" xfId="0" applyFont="1" applyFill="1" applyBorder="1" applyAlignment="1">
      <alignment horizontal="center" wrapText="1"/>
    </xf>
    <xf numFmtId="0" fontId="14" fillId="8" borderId="0" xfId="0" applyFont="1" applyFill="1" applyAlignment="1">
      <alignment horizontal="center" wrapText="1"/>
    </xf>
    <xf numFmtId="0" fontId="14" fillId="8" borderId="8" xfId="0" applyFont="1" applyFill="1" applyBorder="1" applyAlignment="1">
      <alignment horizontal="center" wrapText="1"/>
    </xf>
    <xf numFmtId="0" fontId="14" fillId="8" borderId="9" xfId="0" applyFont="1" applyFill="1" applyBorder="1" applyAlignment="1">
      <alignment horizontal="center" wrapText="1"/>
    </xf>
    <xf numFmtId="0" fontId="14" fillId="8" borderId="10" xfId="0" applyFont="1" applyFill="1" applyBorder="1" applyAlignment="1">
      <alignment horizontal="center" wrapText="1"/>
    </xf>
    <xf numFmtId="0" fontId="14" fillId="8" borderId="11" xfId="0" applyFont="1" applyFill="1" applyBorder="1" applyAlignment="1">
      <alignment horizontal="center" wrapText="1"/>
    </xf>
    <xf numFmtId="0" fontId="28" fillId="5" borderId="0" xfId="0" applyFont="1" applyFill="1" applyAlignment="1">
      <alignment horizontal="center"/>
    </xf>
    <xf numFmtId="0" fontId="4" fillId="6" borderId="0" xfId="0" applyFont="1" applyFill="1" applyAlignment="1">
      <alignment horizontal="center"/>
    </xf>
    <xf numFmtId="0" fontId="8" fillId="0" borderId="0" xfId="0" applyFont="1" applyAlignment="1">
      <alignment horizontal="center"/>
    </xf>
    <xf numFmtId="9" fontId="10" fillId="0" borderId="3" xfId="0" applyNumberFormat="1" applyFont="1" applyBorder="1" applyAlignment="1">
      <alignment horizontal="left" indent="14"/>
    </xf>
    <xf numFmtId="9" fontId="10" fillId="0" borderId="4" xfId="0" applyNumberFormat="1" applyFont="1" applyBorder="1" applyAlignment="1">
      <alignment horizontal="left" indent="14"/>
    </xf>
    <xf numFmtId="0" fontId="23" fillId="0" borderId="21" xfId="0" applyFont="1" applyBorder="1" applyAlignment="1">
      <alignment horizontal="left"/>
    </xf>
    <xf numFmtId="0" fontId="23" fillId="0" borderId="22" xfId="0" applyFont="1" applyBorder="1" applyAlignment="1">
      <alignment horizontal="left"/>
    </xf>
    <xf numFmtId="0" fontId="23" fillId="0" borderId="23" xfId="0" applyFont="1" applyBorder="1" applyAlignment="1">
      <alignment horizontal="left"/>
    </xf>
    <xf numFmtId="0" fontId="7" fillId="0" borderId="16" xfId="0" applyFont="1" applyBorder="1"/>
    <xf numFmtId="0" fontId="7" fillId="0" borderId="0" xfId="0" applyFont="1"/>
    <xf numFmtId="0" fontId="7" fillId="0" borderId="17" xfId="0" applyFont="1" applyBorder="1"/>
    <xf numFmtId="0" fontId="7" fillId="0" borderId="18" xfId="0" applyFont="1" applyBorder="1"/>
    <xf numFmtId="0" fontId="7" fillId="0" borderId="19" xfId="0" applyFont="1" applyBorder="1"/>
    <xf numFmtId="0" fontId="7" fillId="0" borderId="20" xfId="0" applyFont="1" applyBorder="1"/>
    <xf numFmtId="0" fontId="17" fillId="0" borderId="21" xfId="0" applyFont="1" applyBorder="1" applyAlignment="1">
      <alignment horizontal="center"/>
    </xf>
    <xf numFmtId="0" fontId="17" fillId="0" borderId="22" xfId="0" applyFont="1" applyBorder="1" applyAlignment="1">
      <alignment horizontal="center"/>
    </xf>
    <xf numFmtId="0" fontId="17" fillId="0" borderId="23" xfId="0" applyFont="1" applyBorder="1" applyAlignment="1">
      <alignment horizontal="center"/>
    </xf>
    <xf numFmtId="0" fontId="7" fillId="0" borderId="13" xfId="0" applyFont="1" applyBorder="1"/>
    <xf numFmtId="0" fontId="7" fillId="0" borderId="14" xfId="0" applyFont="1" applyBorder="1"/>
    <xf numFmtId="0" fontId="7" fillId="0" borderId="15" xfId="0" applyFont="1" applyBorder="1"/>
  </cellXfs>
  <cellStyles count="2">
    <cellStyle name="Normal" xfId="0" builtinId="0"/>
    <cellStyle name="Per cent" xfId="1" builtinId="5"/>
  </cellStyles>
  <dxfs count="9">
    <dxf>
      <numFmt numFmtId="2" formatCode="0.00"/>
    </dxf>
    <dxf>
      <numFmt numFmtId="2" formatCode="0.00"/>
    </dxf>
    <dxf>
      <border diagonalUp="0" diagonalDown="0">
        <left/>
        <right style="medium">
          <color theme="1"/>
        </right>
        <top/>
        <bottom/>
        <vertical/>
        <horizontal/>
      </border>
    </dxf>
    <dxf>
      <numFmt numFmtId="165" formatCode="0.0%"/>
    </dxf>
    <dxf>
      <numFmt numFmtId="13" formatCode="0%"/>
    </dxf>
    <dxf>
      <border diagonalUp="0" diagonalDown="0">
        <left style="medium">
          <color theme="1"/>
        </left>
        <right/>
        <top/>
        <bottom/>
        <vertical/>
        <horizontal/>
      </border>
    </dxf>
    <dxf>
      <border diagonalUp="0" diagonalDown="0">
        <left/>
        <right style="medium">
          <color theme="1"/>
        </right>
        <top/>
        <bottom/>
        <vertical/>
        <horizontal/>
      </border>
    </dxf>
    <dxf>
      <font>
        <b val="0"/>
        <i val="0"/>
        <strike val="0"/>
        <condense val="0"/>
        <extend val="0"/>
        <outline val="0"/>
        <shadow val="0"/>
        <u val="none"/>
        <vertAlign val="baseline"/>
        <sz val="10"/>
        <color theme="1"/>
        <name val="Arial Unicode MS"/>
        <family val="2"/>
        <scheme val="none"/>
      </font>
    </dxf>
    <dxf>
      <border diagonalUp="0" diagonalDown="0">
        <left style="medium">
          <color theme="1"/>
        </left>
        <right/>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Raw_Data!$B$5</c:f>
              <c:strCache>
                <c:ptCount val="1"/>
                <c:pt idx="0">
                  <c:v>QuarterCloud Revenue (€M)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Raw_Data!$A$6:$A$12</c:f>
              <c:strCache>
                <c:ptCount val="7"/>
                <c:pt idx="0">
                  <c:v>Q1 2024</c:v>
                </c:pt>
                <c:pt idx="1">
                  <c:v>Q2 2024</c:v>
                </c:pt>
                <c:pt idx="2">
                  <c:v>Q3 2024</c:v>
                </c:pt>
                <c:pt idx="3">
                  <c:v>Q4 2024</c:v>
                </c:pt>
                <c:pt idx="4">
                  <c:v>Q1 2025</c:v>
                </c:pt>
                <c:pt idx="5">
                  <c:v>Q2 2025</c:v>
                </c:pt>
                <c:pt idx="6">
                  <c:v>Q3 2025</c:v>
                </c:pt>
              </c:strCache>
            </c:strRef>
          </c:cat>
          <c:val>
            <c:numRef>
              <c:f>Raw_Data!$B$6:$B$12</c:f>
              <c:numCache>
                <c:formatCode>General</c:formatCode>
                <c:ptCount val="7"/>
                <c:pt idx="0">
                  <c:v>3928</c:v>
                </c:pt>
                <c:pt idx="1">
                  <c:v>4153</c:v>
                </c:pt>
                <c:pt idx="2">
                  <c:v>4351</c:v>
                </c:pt>
                <c:pt idx="3">
                  <c:v>4708</c:v>
                </c:pt>
                <c:pt idx="4">
                  <c:v>4993</c:v>
                </c:pt>
                <c:pt idx="5">
                  <c:v>5130</c:v>
                </c:pt>
                <c:pt idx="6">
                  <c:v>5290</c:v>
                </c:pt>
              </c:numCache>
            </c:numRef>
          </c:val>
          <c:smooth val="0"/>
          <c:extLst>
            <c:ext xmlns:c16="http://schemas.microsoft.com/office/drawing/2014/chart" uri="{C3380CC4-5D6E-409C-BE32-E72D297353CC}">
              <c16:uniqueId val="{00000000-BB10-1548-A040-DD2CD00145BE}"/>
            </c:ext>
          </c:extLst>
        </c:ser>
        <c:dLbls>
          <c:showLegendKey val="0"/>
          <c:showVal val="0"/>
          <c:showCatName val="0"/>
          <c:showSerName val="0"/>
          <c:showPercent val="0"/>
          <c:showBubbleSize val="0"/>
        </c:dLbls>
        <c:marker val="1"/>
        <c:smooth val="0"/>
        <c:axId val="296830864"/>
        <c:axId val="1820463152"/>
      </c:lineChart>
      <c:catAx>
        <c:axId val="29683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463152"/>
        <c:crosses val="autoZero"/>
        <c:auto val="1"/>
        <c:lblAlgn val="ctr"/>
        <c:lblOffset val="100"/>
        <c:noMultiLvlLbl val="0"/>
      </c:catAx>
      <c:valAx>
        <c:axId val="182046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9683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sz="1400" b="1" i="0" u="none" strike="noStrike" baseline="0"/>
              <a:t>Cloud Margin Expansion (%)</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Raw_Data!$D$5</c:f>
              <c:strCache>
                <c:ptCount val="1"/>
                <c:pt idx="0">
                  <c:v>Cloud Margin (%)</c:v>
                </c:pt>
              </c:strCache>
            </c:strRef>
          </c:tx>
          <c:spPr>
            <a:ln w="28575" cap="rnd">
              <a:solidFill>
                <a:srgbClr val="00B05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3.3670603674540681E-2"/>
                  <c:y val="0.2079396325459317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cat>
            <c:strRef>
              <c:f>Raw_Data!$A$6:$A$12</c:f>
              <c:strCache>
                <c:ptCount val="7"/>
                <c:pt idx="0">
                  <c:v>Q1 2024</c:v>
                </c:pt>
                <c:pt idx="1">
                  <c:v>Q2 2024</c:v>
                </c:pt>
                <c:pt idx="2">
                  <c:v>Q3 2024</c:v>
                </c:pt>
                <c:pt idx="3">
                  <c:v>Q4 2024</c:v>
                </c:pt>
                <c:pt idx="4">
                  <c:v>Q1 2025</c:v>
                </c:pt>
                <c:pt idx="5">
                  <c:v>Q2 2025</c:v>
                </c:pt>
                <c:pt idx="6">
                  <c:v>Q3 2025</c:v>
                </c:pt>
              </c:strCache>
            </c:strRef>
          </c:cat>
          <c:val>
            <c:numRef>
              <c:f>Raw_Data!$D$6:$D$12</c:f>
              <c:numCache>
                <c:formatCode>General</c:formatCode>
                <c:ptCount val="7"/>
                <c:pt idx="0">
                  <c:v>72.5</c:v>
                </c:pt>
                <c:pt idx="1">
                  <c:v>73.3</c:v>
                </c:pt>
                <c:pt idx="2">
                  <c:v>73.7</c:v>
                </c:pt>
                <c:pt idx="3">
                  <c:v>73.5</c:v>
                </c:pt>
                <c:pt idx="4" formatCode="0.0">
                  <c:v>75</c:v>
                </c:pt>
                <c:pt idx="5">
                  <c:v>75.2</c:v>
                </c:pt>
                <c:pt idx="6">
                  <c:v>75.099999999999994</c:v>
                </c:pt>
              </c:numCache>
            </c:numRef>
          </c:val>
          <c:smooth val="0"/>
          <c:extLst>
            <c:ext xmlns:c16="http://schemas.microsoft.com/office/drawing/2014/chart" uri="{C3380CC4-5D6E-409C-BE32-E72D297353CC}">
              <c16:uniqueId val="{00000000-1096-BA49-9AC5-34508D1BAC26}"/>
            </c:ext>
          </c:extLst>
        </c:ser>
        <c:dLbls>
          <c:showLegendKey val="0"/>
          <c:showVal val="0"/>
          <c:showCatName val="0"/>
          <c:showSerName val="0"/>
          <c:showPercent val="0"/>
          <c:showBubbleSize val="0"/>
        </c:dLbls>
        <c:marker val="1"/>
        <c:smooth val="0"/>
        <c:axId val="645539424"/>
        <c:axId val="1324671504"/>
      </c:lineChart>
      <c:catAx>
        <c:axId val="64553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671504"/>
        <c:crosses val="autoZero"/>
        <c:auto val="1"/>
        <c:lblAlgn val="ctr"/>
        <c:lblOffset val="100"/>
        <c:noMultiLvlLbl val="0"/>
      </c:catAx>
      <c:valAx>
        <c:axId val="132467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53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GB" sz="1600" b="1" i="0" u="none" strike="noStrike" baseline="0"/>
              <a:t>Cloud Revenue by Region: Q3 2024 vs Q3 2025</a:t>
            </a:r>
            <a:endParaRPr lang="en-GB" sz="1600" b="1"/>
          </a:p>
        </c:rich>
      </c:tx>
      <c:layout>
        <c:manualLayout>
          <c:xMode val="edge"/>
          <c:yMode val="edge"/>
          <c:x val="0.20818993420704962"/>
          <c:y val="7.129672452653455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13546461316915923"/>
          <c:y val="0.25762784298802799"/>
          <c:w val="0.82286883025947255"/>
          <c:h val="0.51266516406638751"/>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Regional_Data!$B$5:$B$7</c:f>
              <c:numCache>
                <c:formatCode>General</c:formatCode>
                <c:ptCount val="3"/>
                <c:pt idx="0">
                  <c:v>1742</c:v>
                </c:pt>
                <c:pt idx="1">
                  <c:v>1989</c:v>
                </c:pt>
                <c:pt idx="2">
                  <c:v>620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6ECA-BD45-95B8-EBA56B9845D6}"/>
            </c:ext>
          </c:extLst>
        </c:ser>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Regional_Data!$C$5:$C$7</c:f>
              <c:numCache>
                <c:formatCode>General</c:formatCode>
                <c:ptCount val="3"/>
                <c:pt idx="0">
                  <c:v>2271</c:v>
                </c:pt>
                <c:pt idx="1">
                  <c:v>2247</c:v>
                </c:pt>
                <c:pt idx="2">
                  <c:v>772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6ECA-BD45-95B8-EBA56B9845D6}"/>
            </c:ext>
          </c:extLst>
        </c:ser>
        <c:dLbls>
          <c:dLblPos val="outEnd"/>
          <c:showLegendKey val="0"/>
          <c:showVal val="1"/>
          <c:showCatName val="0"/>
          <c:showSerName val="0"/>
          <c:showPercent val="0"/>
          <c:showBubbleSize val="0"/>
        </c:dLbls>
        <c:gapWidth val="219"/>
        <c:overlap val="-27"/>
        <c:axId val="432862880"/>
        <c:axId val="1589255871"/>
      </c:barChart>
      <c:catAx>
        <c:axId val="43286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55871"/>
        <c:crosses val="autoZero"/>
        <c:auto val="1"/>
        <c:lblAlgn val="ctr"/>
        <c:lblOffset val="100"/>
        <c:noMultiLvlLbl val="0"/>
      </c:catAx>
      <c:valAx>
        <c:axId val="1589255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32862880"/>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Cloud Revenue: Actual vs. Forecast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Forecast_Model!$A$5</c:f>
              <c:strCache>
                <c:ptCount val="1"/>
                <c:pt idx="0">
                  <c:v>Quarter Number</c:v>
                </c:pt>
              </c:strCache>
            </c:strRef>
          </c:tx>
          <c:spPr>
            <a:ln w="28575" cap="rnd">
              <a:solidFill>
                <a:schemeClr val="accent1"/>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val>
            <c:numRef>
              <c:f>Forecast_Model!$A$6:$A$13</c:f>
              <c:numCache>
                <c:formatCode>General</c:formatCode>
                <c:ptCount val="8"/>
                <c:pt idx="0">
                  <c:v>1</c:v>
                </c:pt>
                <c:pt idx="1">
                  <c:v>2</c:v>
                </c:pt>
                <c:pt idx="2">
                  <c:v>3</c:v>
                </c:pt>
                <c:pt idx="3">
                  <c:v>4</c:v>
                </c:pt>
                <c:pt idx="4">
                  <c:v>5</c:v>
                </c:pt>
                <c:pt idx="5">
                  <c:v>6</c:v>
                </c:pt>
                <c:pt idx="6">
                  <c:v>7</c:v>
                </c:pt>
                <c:pt idx="7">
                  <c:v>8</c:v>
                </c:pt>
              </c:numCache>
            </c:numRef>
          </c:val>
          <c:smooth val="0"/>
          <c:extLst>
            <c:ext xmlns:c16="http://schemas.microsoft.com/office/drawing/2014/chart" uri="{C3380CC4-5D6E-409C-BE32-E72D297353CC}">
              <c16:uniqueId val="{00000000-44D1-0446-9F09-FF2FBBCEF5F3}"/>
            </c:ext>
          </c:extLst>
        </c:ser>
        <c:ser>
          <c:idx val="1"/>
          <c:order val="1"/>
          <c:tx>
            <c:strRef>
              <c:f>Forecast_Model!$B$5</c:f>
              <c:strCache>
                <c:ptCount val="1"/>
                <c:pt idx="0">
                  <c:v>Cloud Revenue (€M)</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1"/>
            <c:dispEq val="1"/>
            <c:trendlineLbl>
              <c:layout>
                <c:manualLayout>
                  <c:x val="5.9786423736982168E-2"/>
                  <c:y val="0.1548310939264877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errBars>
            <c:errDir val="y"/>
            <c:errBarType val="both"/>
            <c:errValType val="stdErr"/>
            <c:noEndCap val="0"/>
            <c:spPr>
              <a:noFill/>
              <a:ln w="9525" cap="flat" cmpd="sng" algn="ctr">
                <a:solidFill>
                  <a:schemeClr val="tx1">
                    <a:lumMod val="65000"/>
                    <a:lumOff val="35000"/>
                  </a:schemeClr>
                </a:solidFill>
                <a:round/>
              </a:ln>
              <a:effectLst/>
            </c:spPr>
          </c:errBars>
          <c:val>
            <c:numRef>
              <c:f>Forecast_Model!$B$6:$B$13</c:f>
              <c:numCache>
                <c:formatCode>General</c:formatCode>
                <c:ptCount val="8"/>
                <c:pt idx="0">
                  <c:v>3928</c:v>
                </c:pt>
                <c:pt idx="1">
                  <c:v>4153</c:v>
                </c:pt>
                <c:pt idx="2">
                  <c:v>4351</c:v>
                </c:pt>
                <c:pt idx="3">
                  <c:v>4708</c:v>
                </c:pt>
                <c:pt idx="4">
                  <c:v>4993</c:v>
                </c:pt>
                <c:pt idx="5">
                  <c:v>5130</c:v>
                </c:pt>
                <c:pt idx="6">
                  <c:v>5290</c:v>
                </c:pt>
                <c:pt idx="7" formatCode="0">
                  <c:v>5605</c:v>
                </c:pt>
              </c:numCache>
            </c:numRef>
          </c:val>
          <c:smooth val="0"/>
          <c:extLst>
            <c:ext xmlns:c16="http://schemas.microsoft.com/office/drawing/2014/chart" uri="{C3380CC4-5D6E-409C-BE32-E72D297353CC}">
              <c16:uniqueId val="{00000001-44D1-0446-9F09-FF2FBBCEF5F3}"/>
            </c:ext>
          </c:extLst>
        </c:ser>
        <c:dLbls>
          <c:showLegendKey val="0"/>
          <c:showVal val="0"/>
          <c:showCatName val="0"/>
          <c:showSerName val="0"/>
          <c:showPercent val="0"/>
          <c:showBubbleSize val="0"/>
        </c:dLbls>
        <c:smooth val="0"/>
        <c:axId val="1631610672"/>
        <c:axId val="1631612384"/>
      </c:lineChart>
      <c:catAx>
        <c:axId val="163161067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612384"/>
        <c:crosses val="autoZero"/>
        <c:auto val="1"/>
        <c:lblAlgn val="ctr"/>
        <c:lblOffset val="100"/>
        <c:noMultiLvlLbl val="0"/>
      </c:catAx>
      <c:valAx>
        <c:axId val="1631612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16106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GB" sz="1200" b="1" i="0" u="none" strike="noStrike" baseline="0"/>
              <a:t>Cloud Revenue Trajectory (€M)</a:t>
            </a:r>
            <a:endParaRPr lang="en-US" sz="1200" b="1"/>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Raw_Data!$B$5</c:f>
              <c:strCache>
                <c:ptCount val="1"/>
                <c:pt idx="0">
                  <c:v>QuarterCloud Revenue (€M)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Raw_Data!$A$6:$A$12</c:f>
              <c:strCache>
                <c:ptCount val="7"/>
                <c:pt idx="0">
                  <c:v>Q1 2024</c:v>
                </c:pt>
                <c:pt idx="1">
                  <c:v>Q2 2024</c:v>
                </c:pt>
                <c:pt idx="2">
                  <c:v>Q3 2024</c:v>
                </c:pt>
                <c:pt idx="3">
                  <c:v>Q4 2024</c:v>
                </c:pt>
                <c:pt idx="4">
                  <c:v>Q1 2025</c:v>
                </c:pt>
                <c:pt idx="5">
                  <c:v>Q2 2025</c:v>
                </c:pt>
                <c:pt idx="6">
                  <c:v>Q3 2025</c:v>
                </c:pt>
              </c:strCache>
            </c:strRef>
          </c:cat>
          <c:val>
            <c:numRef>
              <c:f>Raw_Data!$B$6:$B$12</c:f>
              <c:numCache>
                <c:formatCode>General</c:formatCode>
                <c:ptCount val="7"/>
                <c:pt idx="0">
                  <c:v>3928</c:v>
                </c:pt>
                <c:pt idx="1">
                  <c:v>4153</c:v>
                </c:pt>
                <c:pt idx="2">
                  <c:v>4351</c:v>
                </c:pt>
                <c:pt idx="3">
                  <c:v>4708</c:v>
                </c:pt>
                <c:pt idx="4">
                  <c:v>4993</c:v>
                </c:pt>
                <c:pt idx="5">
                  <c:v>5130</c:v>
                </c:pt>
                <c:pt idx="6">
                  <c:v>5290</c:v>
                </c:pt>
              </c:numCache>
            </c:numRef>
          </c:val>
          <c:smooth val="0"/>
          <c:extLst>
            <c:ext xmlns:c16="http://schemas.microsoft.com/office/drawing/2014/chart" uri="{C3380CC4-5D6E-409C-BE32-E72D297353CC}">
              <c16:uniqueId val="{00000000-3526-9746-A810-CA46C8820BB6}"/>
            </c:ext>
          </c:extLst>
        </c:ser>
        <c:dLbls>
          <c:showLegendKey val="0"/>
          <c:showVal val="0"/>
          <c:showCatName val="0"/>
          <c:showSerName val="0"/>
          <c:showPercent val="0"/>
          <c:showBubbleSize val="0"/>
        </c:dLbls>
        <c:marker val="1"/>
        <c:smooth val="0"/>
        <c:axId val="296830864"/>
        <c:axId val="1820463152"/>
      </c:lineChart>
      <c:catAx>
        <c:axId val="29683086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463152"/>
        <c:crosses val="autoZero"/>
        <c:auto val="1"/>
        <c:lblAlgn val="ctr"/>
        <c:lblOffset val="100"/>
        <c:tickLblSkip val="2"/>
        <c:noMultiLvlLbl val="0"/>
      </c:catAx>
      <c:valAx>
        <c:axId val="1820463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3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GB" sz="1100" b="1" i="0" u="none" strike="noStrike" baseline="0"/>
              <a:t>Cloud Revenue by Region: Q3 '24 vs Q3 '25</a:t>
            </a:r>
            <a:endParaRPr lang="en-GB" sz="1100" b="1"/>
          </a:p>
        </c:rich>
      </c:tx>
      <c:layout>
        <c:manualLayout>
          <c:xMode val="edge"/>
          <c:yMode val="edge"/>
          <c:x val="0.13031259625407615"/>
          <c:y val="3.113930503749188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0.10819947506561679"/>
          <c:y val="0.19814814814814816"/>
          <c:w val="0.85013385826771648"/>
          <c:h val="0.57214457567804022"/>
        </c:manualLayout>
      </c:layout>
      <c:barChart>
        <c:barDir val="col"/>
        <c:grouping val="clustered"/>
        <c:varyColors val="0"/>
        <c:ser>
          <c:idx val="0"/>
          <c:order val="0"/>
          <c:tx>
            <c:strRef>
              <c:f>Regional_Data!$B$4</c:f>
              <c:strCache>
                <c:ptCount val="1"/>
                <c:pt idx="0">
                  <c:v>Q3 2024 Cloud (€M)</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Regional_Data!$B$5:$B$7</c:f>
              <c:numCache>
                <c:formatCode>General</c:formatCode>
                <c:ptCount val="3"/>
                <c:pt idx="0">
                  <c:v>1742</c:v>
                </c:pt>
                <c:pt idx="1">
                  <c:v>1989</c:v>
                </c:pt>
                <c:pt idx="2">
                  <c:v>620</c:v>
                </c:pt>
              </c:numCache>
            </c:numRef>
          </c:val>
          <c:extLst>
            <c:ext xmlns:c16="http://schemas.microsoft.com/office/drawing/2014/chart" uri="{C3380CC4-5D6E-409C-BE32-E72D297353CC}">
              <c16:uniqueId val="{00000000-1FFD-904C-8365-54E0A4501D47}"/>
            </c:ext>
          </c:extLst>
        </c:ser>
        <c:ser>
          <c:idx val="1"/>
          <c:order val="1"/>
          <c:tx>
            <c:strRef>
              <c:f>Regional_Data!$C$4</c:f>
              <c:strCache>
                <c:ptCount val="1"/>
                <c:pt idx="0">
                  <c:v>Q3 2025 Cloud (€M)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Regional_Data!$C$5:$C$7</c:f>
              <c:numCache>
                <c:formatCode>General</c:formatCode>
                <c:ptCount val="3"/>
                <c:pt idx="0">
                  <c:v>2271</c:v>
                </c:pt>
                <c:pt idx="1">
                  <c:v>2247</c:v>
                </c:pt>
                <c:pt idx="2">
                  <c:v>772</c:v>
                </c:pt>
              </c:numCache>
            </c:numRef>
          </c:val>
          <c:extLst>
            <c:ext xmlns:c16="http://schemas.microsoft.com/office/drawing/2014/chart" uri="{C3380CC4-5D6E-409C-BE32-E72D297353CC}">
              <c16:uniqueId val="{00000001-1FFD-904C-8365-54E0A4501D47}"/>
            </c:ext>
          </c:extLst>
        </c:ser>
        <c:ser>
          <c:idx val="2"/>
          <c:order val="2"/>
          <c:tx>
            <c:v>Growth %</c:v>
          </c:tx>
          <c:spPr>
            <a:solidFill>
              <a:schemeClr val="accent3"/>
            </a:solidFill>
            <a:ln>
              <a:noFill/>
            </a:ln>
            <a:effectLst/>
          </c:spPr>
          <c:invertIfNegative val="0"/>
          <c:dLbls>
            <c:spPr>
              <a:noFill/>
              <a:ln>
                <a:solidFill>
                  <a:srgbClr val="00B0F0"/>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Regional_Data!$D$5:$D$7</c:f>
              <c:numCache>
                <c:formatCode>0%</c:formatCode>
                <c:ptCount val="3"/>
                <c:pt idx="0">
                  <c:v>0.3036739380022962</c:v>
                </c:pt>
                <c:pt idx="1">
                  <c:v>0.1297134238310709</c:v>
                </c:pt>
                <c:pt idx="2">
                  <c:v>0.24516129032258063</c:v>
                </c:pt>
              </c:numCache>
            </c:numRef>
          </c:val>
          <c:extLst>
            <c:ext xmlns:c16="http://schemas.microsoft.com/office/drawing/2014/chart" uri="{C3380CC4-5D6E-409C-BE32-E72D297353CC}">
              <c16:uniqueId val="{00000002-1FFD-904C-8365-54E0A4501D47}"/>
            </c:ext>
          </c:extLst>
        </c:ser>
        <c:dLbls>
          <c:dLblPos val="outEnd"/>
          <c:showLegendKey val="0"/>
          <c:showVal val="1"/>
          <c:showCatName val="0"/>
          <c:showSerName val="0"/>
          <c:showPercent val="0"/>
          <c:showBubbleSize val="0"/>
        </c:dLbls>
        <c:gapWidth val="219"/>
        <c:overlap val="-27"/>
        <c:axId val="432862880"/>
        <c:axId val="1589255871"/>
      </c:barChart>
      <c:catAx>
        <c:axId val="43286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255871"/>
        <c:crosses val="autoZero"/>
        <c:auto val="1"/>
        <c:lblAlgn val="ctr"/>
        <c:lblOffset val="100"/>
        <c:noMultiLvlLbl val="0"/>
      </c:catAx>
      <c:valAx>
        <c:axId val="1589255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862880"/>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GB" sz="1100" b="1" i="0" u="none" strike="noStrike" baseline="0"/>
              <a:t>Cloud Margin Expansion (%)</a:t>
            </a:r>
            <a:endParaRPr lang="en-GB"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Raw_Data!$D$5</c:f>
              <c:strCache>
                <c:ptCount val="1"/>
                <c:pt idx="0">
                  <c:v>Cloud Margin (%)</c:v>
                </c:pt>
              </c:strCache>
            </c:strRef>
          </c:tx>
          <c:spPr>
            <a:ln w="28575" cap="rnd">
              <a:solidFill>
                <a:srgbClr val="00B050"/>
              </a:solidFill>
              <a:round/>
            </a:ln>
            <a:effectLst/>
          </c:spPr>
          <c:marker>
            <c:symbol val="circle"/>
            <c:size val="5"/>
            <c:spPr>
              <a:solidFill>
                <a:schemeClr val="accent1"/>
              </a:solidFill>
              <a:ln w="9525">
                <a:solidFill>
                  <a:schemeClr val="accent1"/>
                </a:solidFill>
              </a:ln>
              <a:effectLst/>
            </c:spPr>
          </c:marker>
          <c:dLbls>
            <c:dLbl>
              <c:idx val="3"/>
              <c:layout>
                <c:manualLayout>
                  <c:x val="-6.8199623906526965E-2"/>
                  <c:y val="-0.1367500000000000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12-5C4F-9463-A702AA15FDC6}"/>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layout>
                <c:manualLayout>
                  <c:x val="6.8450271562712772E-2"/>
                  <c:y val="0.18659683220798889"/>
                </c:manualLayout>
              </c:layout>
              <c:numFmt formatCode="General" sourceLinked="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rendlineLbl>
          </c:trendline>
          <c:cat>
            <c:strRef>
              <c:f>Raw_Data!$A$6:$A$12</c:f>
              <c:strCache>
                <c:ptCount val="7"/>
                <c:pt idx="0">
                  <c:v>Q1 2024</c:v>
                </c:pt>
                <c:pt idx="1">
                  <c:v>Q2 2024</c:v>
                </c:pt>
                <c:pt idx="2">
                  <c:v>Q3 2024</c:v>
                </c:pt>
                <c:pt idx="3">
                  <c:v>Q4 2024</c:v>
                </c:pt>
                <c:pt idx="4">
                  <c:v>Q1 2025</c:v>
                </c:pt>
                <c:pt idx="5">
                  <c:v>Q2 2025</c:v>
                </c:pt>
                <c:pt idx="6">
                  <c:v>Q3 2025</c:v>
                </c:pt>
              </c:strCache>
            </c:strRef>
          </c:cat>
          <c:val>
            <c:numRef>
              <c:f>Raw_Data!$D$6:$D$12</c:f>
              <c:numCache>
                <c:formatCode>General</c:formatCode>
                <c:ptCount val="7"/>
                <c:pt idx="0">
                  <c:v>72.5</c:v>
                </c:pt>
                <c:pt idx="1">
                  <c:v>73.3</c:v>
                </c:pt>
                <c:pt idx="2">
                  <c:v>73.7</c:v>
                </c:pt>
                <c:pt idx="3">
                  <c:v>73.5</c:v>
                </c:pt>
                <c:pt idx="4" formatCode="0.0">
                  <c:v>75</c:v>
                </c:pt>
                <c:pt idx="5">
                  <c:v>75.2</c:v>
                </c:pt>
                <c:pt idx="6">
                  <c:v>75.099999999999994</c:v>
                </c:pt>
              </c:numCache>
            </c:numRef>
          </c:val>
          <c:smooth val="0"/>
          <c:extLst>
            <c:ext xmlns:c16="http://schemas.microsoft.com/office/drawing/2014/chart" uri="{C3380CC4-5D6E-409C-BE32-E72D297353CC}">
              <c16:uniqueId val="{00000002-ADE9-5349-8E55-088AC8853EC7}"/>
            </c:ext>
          </c:extLst>
        </c:ser>
        <c:dLbls>
          <c:showLegendKey val="0"/>
          <c:showVal val="0"/>
          <c:showCatName val="0"/>
          <c:showSerName val="0"/>
          <c:showPercent val="0"/>
          <c:showBubbleSize val="0"/>
        </c:dLbls>
        <c:marker val="1"/>
        <c:smooth val="0"/>
        <c:axId val="645539424"/>
        <c:axId val="1324671504"/>
      </c:lineChart>
      <c:catAx>
        <c:axId val="64553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324671504"/>
        <c:crosses val="autoZero"/>
        <c:auto val="1"/>
        <c:lblAlgn val="ctr"/>
        <c:lblOffset val="100"/>
        <c:noMultiLvlLbl val="0"/>
      </c:catAx>
      <c:valAx>
        <c:axId val="132467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4553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b="1"/>
            </a:pPr>
            <a:r>
              <a:rPr lang="en-GB" b="1"/>
              <a:t>Revenue Mix Evolution</a:t>
            </a:r>
            <a:endParaRPr lang="en-GB" sz="1400" b="1"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6C10FA07-5B27-8E45-AC52-EF66FBF0A09E}">
          <cx:tx>
            <cx:txData>
              <cx:f>_xlchart.v1.1</cx:f>
              <cx:v>Non-Cloud Revenue</cx:v>
            </cx:txData>
          </cx:tx>
          <cx:dataId val="0"/>
          <cx:layoutPr>
            <cx:aggregation/>
          </cx:layoutPr>
          <cx:axisId val="1"/>
        </cx:series>
        <cx:series layoutId="paretoLine" ownerIdx="0" uniqueId="{8B5E7A9D-7945-3345-9909-0F75776DF94C}">
          <cx:axisId val="2"/>
        </cx:series>
      </cx:plotAreaRegion>
      <cx:axis id="0">
        <cx:catScaling gapWidth="0"/>
        <cx:tickLabels/>
        <cx:numFmt formatCode="General" sourceLinked="0"/>
      </cx:axis>
      <cx:axis id="1">
        <cx:valScaling/>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rich>
          <a:bodyPr spcFirstLastPara="1" vertOverflow="ellipsis" horzOverflow="overflow" wrap="square" lIns="0" tIns="0" rIns="0" bIns="0" anchor="ctr" anchorCtr="1"/>
          <a:lstStyle/>
          <a:p>
            <a:pPr algn="ctr" rtl="0">
              <a:defRPr sz="1200" b="1"/>
            </a:pPr>
            <a:r>
              <a:rPr lang="en-GB" sz="1200" b="1"/>
              <a:t>Revenue Mix Evolution</a:t>
            </a:r>
            <a:endParaRPr lang="en-GB" sz="1200" b="1"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6C10FA07-5B27-8E45-AC52-EF66FBF0A09E}">
          <cx:tx>
            <cx:txData>
              <cx:f>_xlchart.v1.4</cx:f>
              <cx:v>Non-Cloud Revenue</cx:v>
            </cx:txData>
          </cx:tx>
          <cx:dataLabels pos="outEnd">
            <cx:txPr>
              <a:bodyPr spcFirstLastPara="1" vertOverflow="ellipsis" horzOverflow="overflow" wrap="square" lIns="0" tIns="0" rIns="0" bIns="0" anchor="ctr" anchorCtr="1"/>
              <a:lstStyle/>
              <a:p>
                <a:pPr algn="ctr" rtl="0">
                  <a:defRPr sz="700"/>
                </a:pPr>
                <a:endParaRPr lang="en-GB" sz="700" b="0" i="0" u="none" strike="noStrike" baseline="0">
                  <a:solidFill>
                    <a:sysClr val="windowText" lastClr="000000">
                      <a:lumMod val="65000"/>
                      <a:lumOff val="35000"/>
                    </a:sysClr>
                  </a:solidFill>
                  <a:latin typeface="Aptos Narrow" panose="02110004020202020204"/>
                </a:endParaRPr>
              </a:p>
            </cx:txPr>
            <cx:visibility seriesName="0" categoryName="0" value="1"/>
          </cx:dataLabels>
          <cx:dataId val="0"/>
          <cx:layoutPr>
            <cx:aggregation/>
          </cx:layoutPr>
          <cx:axisId val="1"/>
        </cx:series>
        <cx:series layoutId="paretoLine" ownerIdx="0" uniqueId="{8B5E7A9D-7945-3345-9909-0F75776DF94C}">
          <cx:axisId val="2"/>
        </cx:series>
      </cx:plotAreaRegion>
      <cx:axis id="0">
        <cx:catScaling gapWidth="1"/>
        <cx:tickLabels/>
        <cx:txPr>
          <a:bodyPr spcFirstLastPara="1" vertOverflow="ellipsis" horzOverflow="overflow" wrap="square" lIns="0" tIns="0" rIns="0" bIns="0" anchor="ctr" anchorCtr="1"/>
          <a:lstStyle/>
          <a:p>
            <a:pPr algn="ctr" rtl="0">
              <a:defRPr sz="700"/>
            </a:pPr>
            <a:endParaRPr lang="en-GB" sz="700" b="0" i="0" u="none" strike="noStrike" baseline="0">
              <a:solidFill>
                <a:sysClr val="windowText" lastClr="000000">
                  <a:lumMod val="65000"/>
                  <a:lumOff val="35000"/>
                </a:sysClr>
              </a:solidFill>
              <a:latin typeface="Aptos Narrow" panose="02110004020202020204"/>
            </a:endParaRPr>
          </a:p>
        </cx:txPr>
      </cx:axis>
      <cx:axis id="1">
        <cx:valScaling/>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14/relationships/chartEx" Target="../charts/chartEx2.xml"/><Relationship Id="rId1" Type="http://schemas.openxmlformats.org/officeDocument/2006/relationships/chart" Target="../charts/chart5.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141623</xdr:rowOff>
    </xdr:from>
    <xdr:to>
      <xdr:col>3</xdr:col>
      <xdr:colOff>465271</xdr:colOff>
      <xdr:row>27</xdr:row>
      <xdr:rowOff>58539</xdr:rowOff>
    </xdr:to>
    <xdr:graphicFrame macro="">
      <xdr:nvGraphicFramePr>
        <xdr:cNvPr id="2" name="Chart 1">
          <a:extLst>
            <a:ext uri="{FF2B5EF4-FFF2-40B4-BE49-F238E27FC236}">
              <a16:creationId xmlns:a16="http://schemas.microsoft.com/office/drawing/2014/main" id="{A4406068-0F17-8A8B-A36F-B36C5E0E2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592651</xdr:colOff>
      <xdr:row>13</xdr:row>
      <xdr:rowOff>121303</xdr:rowOff>
    </xdr:from>
    <xdr:to>
      <xdr:col>6</xdr:col>
      <xdr:colOff>939230</xdr:colOff>
      <xdr:row>27</xdr:row>
      <xdr:rowOff>38219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8DF3CEB-6E7E-E1A5-AF18-EDFF5A862B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021651" y="3004203"/>
              <a:ext cx="4575679" cy="276171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1052223</xdr:colOff>
      <xdr:row>13</xdr:row>
      <xdr:rowOff>111142</xdr:rowOff>
    </xdr:from>
    <xdr:to>
      <xdr:col>11</xdr:col>
      <xdr:colOff>71120</xdr:colOff>
      <xdr:row>27</xdr:row>
      <xdr:rowOff>28059</xdr:rowOff>
    </xdr:to>
    <xdr:graphicFrame macro="">
      <xdr:nvGraphicFramePr>
        <xdr:cNvPr id="4" name="Chart 3">
          <a:extLst>
            <a:ext uri="{FF2B5EF4-FFF2-40B4-BE49-F238E27FC236}">
              <a16:creationId xmlns:a16="http://schemas.microsoft.com/office/drawing/2014/main" id="{D00BD236-C2E1-0AF8-93D5-9D2BA0D10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1117600</xdr:colOff>
      <xdr:row>15</xdr:row>
      <xdr:rowOff>48260</xdr:rowOff>
    </xdr:from>
    <xdr:to>
      <xdr:col>8</xdr:col>
      <xdr:colOff>121920</xdr:colOff>
      <xdr:row>31</xdr:row>
      <xdr:rowOff>60960</xdr:rowOff>
    </xdr:to>
    <xdr:graphicFrame macro="">
      <xdr:nvGraphicFramePr>
        <xdr:cNvPr id="2" name="Chart 1">
          <a:extLst>
            <a:ext uri="{FF2B5EF4-FFF2-40B4-BE49-F238E27FC236}">
              <a16:creationId xmlns:a16="http://schemas.microsoft.com/office/drawing/2014/main" id="{0248F37C-89B5-A88C-245D-190F6EB8DB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282584</xdr:colOff>
      <xdr:row>3</xdr:row>
      <xdr:rowOff>205588</xdr:rowOff>
    </xdr:from>
    <xdr:to>
      <xdr:col>14</xdr:col>
      <xdr:colOff>412478</xdr:colOff>
      <xdr:row>18</xdr:row>
      <xdr:rowOff>32563</xdr:rowOff>
    </xdr:to>
    <xdr:graphicFrame macro="">
      <xdr:nvGraphicFramePr>
        <xdr:cNvPr id="3" name="Chart 2">
          <a:extLst>
            <a:ext uri="{FF2B5EF4-FFF2-40B4-BE49-F238E27FC236}">
              <a16:creationId xmlns:a16="http://schemas.microsoft.com/office/drawing/2014/main" id="{2C462E80-DA9E-59E0-DFA2-487906FE5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15</xdr:row>
      <xdr:rowOff>180437</xdr:rowOff>
    </xdr:from>
    <xdr:to>
      <xdr:col>2</xdr:col>
      <xdr:colOff>680109</xdr:colOff>
      <xdr:row>25</xdr:row>
      <xdr:rowOff>46015</xdr:rowOff>
    </xdr:to>
    <xdr:graphicFrame macro="">
      <xdr:nvGraphicFramePr>
        <xdr:cNvPr id="2" name="Chart 1">
          <a:extLst>
            <a:ext uri="{FF2B5EF4-FFF2-40B4-BE49-F238E27FC236}">
              <a16:creationId xmlns:a16="http://schemas.microsoft.com/office/drawing/2014/main" id="{3E9A3258-2009-6C42-9A18-86E319D1E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800099</xdr:colOff>
      <xdr:row>15</xdr:row>
      <xdr:rowOff>181206</xdr:rowOff>
    </xdr:from>
    <xdr:to>
      <xdr:col>6</xdr:col>
      <xdr:colOff>49482</xdr:colOff>
      <xdr:row>25</xdr:row>
      <xdr:rowOff>61568</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D5224574-6333-A046-93A1-216EC868B0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492499" y="4283306"/>
              <a:ext cx="3300683" cy="1912362"/>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26</xdr:row>
      <xdr:rowOff>0</xdr:rowOff>
    </xdr:from>
    <xdr:to>
      <xdr:col>2</xdr:col>
      <xdr:colOff>687049</xdr:colOff>
      <xdr:row>36</xdr:row>
      <xdr:rowOff>0</xdr:rowOff>
    </xdr:to>
    <xdr:graphicFrame macro="">
      <xdr:nvGraphicFramePr>
        <xdr:cNvPr id="4" name="Chart 3">
          <a:extLst>
            <a:ext uri="{FF2B5EF4-FFF2-40B4-BE49-F238E27FC236}">
              <a16:creationId xmlns:a16="http://schemas.microsoft.com/office/drawing/2014/main" id="{E4045FFD-CB91-BA40-BC75-2CC8B1B04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800100</xdr:colOff>
      <xdr:row>25</xdr:row>
      <xdr:rowOff>201256</xdr:rowOff>
    </xdr:from>
    <xdr:to>
      <xdr:col>6</xdr:col>
      <xdr:colOff>30431</xdr:colOff>
      <xdr:row>35</xdr:row>
      <xdr:rowOff>201256</xdr:rowOff>
    </xdr:to>
    <xdr:graphicFrame macro="">
      <xdr:nvGraphicFramePr>
        <xdr:cNvPr id="5" name="Chart 4">
          <a:extLst>
            <a:ext uri="{FF2B5EF4-FFF2-40B4-BE49-F238E27FC236}">
              <a16:creationId xmlns:a16="http://schemas.microsoft.com/office/drawing/2014/main" id="{59865F8D-B0F6-9F49-AEAB-E352E608B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82550</xdr:colOff>
      <xdr:row>5</xdr:row>
      <xdr:rowOff>69850</xdr:rowOff>
    </xdr:from>
    <xdr:to>
      <xdr:col>2</xdr:col>
      <xdr:colOff>1298702</xdr:colOff>
      <xdr:row>6</xdr:row>
      <xdr:rowOff>84582</xdr:rowOff>
    </xdr:to>
    <xdr:sp macro="" textlink="">
      <xdr:nvSpPr>
        <xdr:cNvPr id="7" name="Left-right Arrow 6">
          <a:extLst>
            <a:ext uri="{FF2B5EF4-FFF2-40B4-BE49-F238E27FC236}">
              <a16:creationId xmlns:a16="http://schemas.microsoft.com/office/drawing/2014/main" id="{DBBFF018-02D1-DE8C-147C-21F1A44461F3}"/>
            </a:ext>
          </a:extLst>
        </xdr:cNvPr>
        <xdr:cNvSpPr/>
      </xdr:nvSpPr>
      <xdr:spPr>
        <a:xfrm>
          <a:off x="2774950" y="1238250"/>
          <a:ext cx="1216152" cy="484632"/>
        </a:xfrm>
        <a:prstGeom prst="leftRightArrow">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76200</xdr:colOff>
      <xdr:row>9</xdr:row>
      <xdr:rowOff>6350</xdr:rowOff>
    </xdr:from>
    <xdr:to>
      <xdr:col>2</xdr:col>
      <xdr:colOff>1292352</xdr:colOff>
      <xdr:row>10</xdr:row>
      <xdr:rowOff>21082</xdr:rowOff>
    </xdr:to>
    <xdr:sp macro="" textlink="">
      <xdr:nvSpPr>
        <xdr:cNvPr id="8" name="Left-right Arrow 7">
          <a:extLst>
            <a:ext uri="{FF2B5EF4-FFF2-40B4-BE49-F238E27FC236}">
              <a16:creationId xmlns:a16="http://schemas.microsoft.com/office/drawing/2014/main" id="{7AD538CF-4722-EA4B-84AF-E86AC6768C0B}"/>
            </a:ext>
          </a:extLst>
        </xdr:cNvPr>
        <xdr:cNvSpPr/>
      </xdr:nvSpPr>
      <xdr:spPr>
        <a:xfrm>
          <a:off x="2768600" y="2317750"/>
          <a:ext cx="1216152" cy="484632"/>
        </a:xfrm>
        <a:prstGeom prst="leftRightArrow">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76200</xdr:colOff>
      <xdr:row>13</xdr:row>
      <xdr:rowOff>12700</xdr:rowOff>
    </xdr:from>
    <xdr:to>
      <xdr:col>2</xdr:col>
      <xdr:colOff>1292352</xdr:colOff>
      <xdr:row>14</xdr:row>
      <xdr:rowOff>27432</xdr:rowOff>
    </xdr:to>
    <xdr:sp macro="" textlink="">
      <xdr:nvSpPr>
        <xdr:cNvPr id="9" name="Left-right Arrow 8">
          <a:extLst>
            <a:ext uri="{FF2B5EF4-FFF2-40B4-BE49-F238E27FC236}">
              <a16:creationId xmlns:a16="http://schemas.microsoft.com/office/drawing/2014/main" id="{86DDBD15-CA29-C141-808F-951DEEAEB3CC}"/>
            </a:ext>
          </a:extLst>
        </xdr:cNvPr>
        <xdr:cNvSpPr/>
      </xdr:nvSpPr>
      <xdr:spPr>
        <a:xfrm>
          <a:off x="2768600" y="3467100"/>
          <a:ext cx="1216152" cy="484632"/>
        </a:xfrm>
        <a:prstGeom prst="leftRightArrow">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40AE6AD-D7BA-EF40-A09B-F18E214BBC9D}" name="Table6" displayName="Table6" ref="A4:F8" totalsRowShown="0">
  <autoFilter ref="A4:F8" xr:uid="{240AE6AD-D7BA-EF40-A09B-F18E214BBC9D}"/>
  <tableColumns count="6">
    <tableColumn id="1" xr3:uid="{F7A0386F-FEC8-B94A-9F92-515380778A6B}" name="Region" dataDxfId="8"/>
    <tableColumn id="2" xr3:uid="{2C618CC3-7719-2646-B184-B87AF11385C3}" name="Q3 2024 Cloud (€M)"/>
    <tableColumn id="3" xr3:uid="{19E67ECB-7361-8E47-BD03-BC3036DA2E02}" name="Q3 2025 Cloud (€M)"/>
    <tableColumn id="4" xr3:uid="{E1E9C9E3-3F4D-6D4C-A3A7-A194CD4163F0}" name="Growth %" dataDxfId="7" dataCellStyle="Per cent"/>
    <tableColumn id="5" xr3:uid="{08D440F7-786F-EA41-95CE-BA1FFAE96933}" name="Q3 2025 Total (€M)"/>
    <tableColumn id="6" xr3:uid="{667A7499-3385-F040-BF89-494E26A1ED1F}" name="Cloud % of Regional Total"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BA5E33-CE07-474A-A83E-E21F60682020}" name="Table8" displayName="Table8" ref="A11:E14" totalsRowShown="0">
  <autoFilter ref="A11:E14" xr:uid="{6EBA5E33-CE07-474A-A83E-E21F60682020}"/>
  <tableColumns count="5">
    <tableColumn id="1" xr3:uid="{B6B2D033-DF08-5C46-AFB6-E7A983AE4AEC}" name="Region" dataDxfId="5"/>
    <tableColumn id="2" xr3:uid="{6D01CD81-AB8A-A344-B96E-D73A0A3CEACB}" name="Cloud Revenue Size">
      <calculatedColumnFormula>C5</calculatedColumnFormula>
    </tableColumn>
    <tableColumn id="3" xr3:uid="{E2DB6BE0-D0E9-A849-9F84-CEE206E6018E}" name="Growth Rate" dataDxfId="4">
      <calculatedColumnFormula>D5</calculatedColumnFormula>
    </tableColumn>
    <tableColumn id="4" xr3:uid="{33326EED-11E3-8D49-8EBC-B8C5EDAA9546}" name="Cloud Penetration" dataDxfId="3">
      <calculatedColumnFormula>F5</calculatedColumnFormula>
    </tableColumn>
    <tableColumn id="5" xr3:uid="{1A219D67-8C58-F844-9407-B1D8FD8DE5B5}" name="Strategic Priority" dataDxfId="2">
      <calculatedColumnFormula>IF(AND(D11&gt;0.25,C11&gt;2000),"High Growth + Large Market","") &amp; IF(AND(D11&gt;0.25,C11&lt;2000),"High Growth Opportunity","") &amp; IF(AND(D11&lt;0.15,C11&gt;2000),"Mature Market","")</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FA47A5-C7F8-524B-809F-66DFA35D55C9}" name="Table4" displayName="Table4" ref="A5:D13" totalsRowShown="0">
  <autoFilter ref="A5:D13" xr:uid="{D3FA47A5-C7F8-524B-809F-66DFA35D55C9}"/>
  <tableColumns count="4">
    <tableColumn id="1" xr3:uid="{06BF9837-9165-024A-AE40-9EF69D8659E4}" name="Quarter Number"/>
    <tableColumn id="2" xr3:uid="{AF5A4FA9-F5DA-DC45-9042-FC73CA753A2E}" name="Cloud Revenue (€M)"/>
    <tableColumn id="3" xr3:uid="{520EB580-2C39-2B4D-8117-CC8C745BFBA5}" name="Fitted Value" dataDxfId="1"/>
    <tableColumn id="4" xr3:uid="{C881C646-FE89-3B44-AF5B-5C1B3A1105E7}" name="Residua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C95D9-A236-FF4B-9731-084C190AE4AE}">
  <dimension ref="A1:K12"/>
  <sheetViews>
    <sheetView showGridLines="0" zoomScale="125" workbookViewId="0">
      <selection activeCell="L7" sqref="L7"/>
    </sheetView>
  </sheetViews>
  <sheetFormatPr baseColWidth="10" defaultRowHeight="16" x14ac:dyDescent="0.2"/>
  <cols>
    <col min="1" max="1" width="10.83203125" customWidth="1"/>
    <col min="2" max="2" width="16.33203125" customWidth="1"/>
    <col min="3" max="3" width="17.83203125" customWidth="1"/>
    <col min="4" max="4" width="16.33203125" customWidth="1"/>
    <col min="5" max="5" width="19.5" customWidth="1"/>
    <col min="6" max="6" width="19.6640625" customWidth="1"/>
    <col min="7" max="7" width="19.1640625" customWidth="1"/>
    <col min="8" max="8" width="14.6640625" customWidth="1"/>
    <col min="9" max="9" width="11.83203125" customWidth="1"/>
    <col min="10" max="10" width="12.5" customWidth="1"/>
    <col min="11" max="11" width="17" customWidth="1"/>
  </cols>
  <sheetData>
    <row r="1" spans="1:11" ht="30" thickBot="1" x14ac:dyDescent="0.4">
      <c r="A1" s="123" t="s">
        <v>0</v>
      </c>
      <c r="B1" s="124"/>
      <c r="C1" s="124"/>
      <c r="D1" s="124"/>
      <c r="E1" s="124"/>
      <c r="F1" s="124"/>
      <c r="G1" s="124"/>
      <c r="H1" s="124"/>
      <c r="I1" s="124"/>
      <c r="J1" s="124"/>
      <c r="K1" s="125"/>
    </row>
    <row r="2" spans="1:11" x14ac:dyDescent="0.2">
      <c r="A2" s="126" t="s">
        <v>1</v>
      </c>
      <c r="B2" s="127"/>
      <c r="C2" s="127"/>
      <c r="D2" s="127"/>
      <c r="E2" s="127"/>
      <c r="F2" s="127"/>
      <c r="G2" s="127"/>
      <c r="H2" s="127"/>
      <c r="I2" s="127"/>
      <c r="J2" s="127"/>
      <c r="K2" s="128"/>
    </row>
    <row r="3" spans="1:11" ht="17" thickBot="1" x14ac:dyDescent="0.25">
      <c r="A3" s="129" t="s">
        <v>2</v>
      </c>
      <c r="B3" s="130"/>
      <c r="C3" s="130"/>
      <c r="D3" s="130"/>
      <c r="E3" s="130"/>
      <c r="F3" s="130"/>
      <c r="G3" s="130"/>
      <c r="H3" s="130"/>
      <c r="I3" s="130"/>
      <c r="J3" s="130"/>
      <c r="K3" s="131"/>
    </row>
    <row r="4" spans="1:11" ht="17" thickBot="1" x14ac:dyDescent="0.25"/>
    <row r="5" spans="1:11" ht="17" thickBot="1" x14ac:dyDescent="0.25">
      <c r="A5" s="71" t="s">
        <v>3</v>
      </c>
      <c r="B5" s="72" t="s">
        <v>4</v>
      </c>
      <c r="C5" s="72" t="s">
        <v>5</v>
      </c>
      <c r="D5" s="72" t="s">
        <v>6</v>
      </c>
      <c r="E5" s="72" t="s">
        <v>7</v>
      </c>
      <c r="F5" s="72" t="s">
        <v>8</v>
      </c>
      <c r="G5" s="72" t="s">
        <v>9</v>
      </c>
      <c r="H5" s="72" t="s">
        <v>17</v>
      </c>
      <c r="I5" s="72" t="s">
        <v>18</v>
      </c>
      <c r="J5" s="72" t="s">
        <v>20</v>
      </c>
      <c r="K5" s="73" t="s">
        <v>161</v>
      </c>
    </row>
    <row r="6" spans="1:11" ht="17" x14ac:dyDescent="0.25">
      <c r="A6" s="74" t="s">
        <v>10</v>
      </c>
      <c r="B6" s="75">
        <v>3928</v>
      </c>
      <c r="C6" s="75">
        <v>8041</v>
      </c>
      <c r="D6" s="75">
        <v>72.5</v>
      </c>
      <c r="E6" s="75">
        <v>1533</v>
      </c>
      <c r="F6" s="75">
        <v>19.100000000000001</v>
      </c>
      <c r="G6" s="75">
        <v>2642</v>
      </c>
      <c r="H6" s="76">
        <f>Raw_Data!$B6/Raw_Data!$C6</f>
        <v>0.48849645566471833</v>
      </c>
      <c r="I6" s="77" t="s">
        <v>19</v>
      </c>
      <c r="J6" s="77" t="s">
        <v>19</v>
      </c>
      <c r="K6" s="78">
        <f t="shared" ref="K6:K12" si="0">C6-B6</f>
        <v>4113</v>
      </c>
    </row>
    <row r="7" spans="1:11" x14ac:dyDescent="0.2">
      <c r="A7" s="79" t="s">
        <v>11</v>
      </c>
      <c r="B7" s="39">
        <v>4153</v>
      </c>
      <c r="C7" s="39">
        <v>8288</v>
      </c>
      <c r="D7" s="39">
        <v>73.3</v>
      </c>
      <c r="E7" s="39">
        <v>1940</v>
      </c>
      <c r="F7" s="39">
        <v>23.4</v>
      </c>
      <c r="G7" s="39">
        <v>1288</v>
      </c>
      <c r="H7" s="80">
        <f>Raw_Data!$B7/Raw_Data!$C7</f>
        <v>0.5010859073359073</v>
      </c>
      <c r="I7" s="81">
        <f>(Raw_Data!$B7-B6)/B6</f>
        <v>5.7281059063136457E-2</v>
      </c>
      <c r="J7" s="82" t="s">
        <v>19</v>
      </c>
      <c r="K7" s="83">
        <f t="shared" si="0"/>
        <v>4135</v>
      </c>
    </row>
    <row r="8" spans="1:11" x14ac:dyDescent="0.2">
      <c r="A8" s="84" t="s">
        <v>12</v>
      </c>
      <c r="B8" s="38">
        <v>4351</v>
      </c>
      <c r="C8" s="38">
        <v>8470</v>
      </c>
      <c r="D8" s="38">
        <v>73.7</v>
      </c>
      <c r="E8" s="38">
        <v>2244</v>
      </c>
      <c r="F8" s="38">
        <v>26.5</v>
      </c>
      <c r="G8" s="38">
        <v>1200</v>
      </c>
      <c r="H8" s="85">
        <f>Raw_Data!$B8/Raw_Data!$C8</f>
        <v>0.51369539551357735</v>
      </c>
      <c r="I8" s="86">
        <f>(Raw_Data!$B8-B7)/B7</f>
        <v>4.7676378521550683E-2</v>
      </c>
      <c r="J8" s="87" t="s">
        <v>19</v>
      </c>
      <c r="K8" s="88">
        <f t="shared" si="0"/>
        <v>4119</v>
      </c>
    </row>
    <row r="9" spans="1:11" x14ac:dyDescent="0.2">
      <c r="A9" s="79" t="s">
        <v>13</v>
      </c>
      <c r="B9" s="39">
        <v>4708</v>
      </c>
      <c r="C9" s="39">
        <v>9377</v>
      </c>
      <c r="D9" s="39">
        <v>73.5</v>
      </c>
      <c r="E9" s="39">
        <v>2436</v>
      </c>
      <c r="F9" s="89">
        <v>26</v>
      </c>
      <c r="G9" s="39">
        <v>-908</v>
      </c>
      <c r="H9" s="80">
        <f>Raw_Data!$B9/Raw_Data!$C9</f>
        <v>0.50207955636130963</v>
      </c>
      <c r="I9" s="81">
        <f>(Raw_Data!$B9-B8)/B8</f>
        <v>8.2050103424500115E-2</v>
      </c>
      <c r="J9" s="82" t="s">
        <v>19</v>
      </c>
      <c r="K9" s="83">
        <f t="shared" si="0"/>
        <v>4669</v>
      </c>
    </row>
    <row r="10" spans="1:11" x14ac:dyDescent="0.2">
      <c r="A10" s="84" t="s">
        <v>14</v>
      </c>
      <c r="B10" s="38">
        <v>4993</v>
      </c>
      <c r="C10" s="38">
        <v>9013</v>
      </c>
      <c r="D10" s="90">
        <v>75</v>
      </c>
      <c r="E10" s="38">
        <v>2455</v>
      </c>
      <c r="F10" s="38">
        <v>27.2</v>
      </c>
      <c r="G10" s="38">
        <v>3583</v>
      </c>
      <c r="H10" s="85">
        <f>Raw_Data!$B10/Raw_Data!$C10</f>
        <v>0.55397758792854768</v>
      </c>
      <c r="I10" s="86">
        <f>(Raw_Data!$B10-B9)/B9</f>
        <v>6.0535259133389974E-2</v>
      </c>
      <c r="J10" s="85">
        <f>(Raw_Data!$B10-B6)/B6</f>
        <v>0.27113034623217924</v>
      </c>
      <c r="K10" s="88">
        <f t="shared" si="0"/>
        <v>4020</v>
      </c>
    </row>
    <row r="11" spans="1:11" x14ac:dyDescent="0.2">
      <c r="A11" s="79" t="s">
        <v>15</v>
      </c>
      <c r="B11" s="39">
        <v>5130</v>
      </c>
      <c r="C11" s="39">
        <v>9027</v>
      </c>
      <c r="D11" s="39">
        <v>75.2</v>
      </c>
      <c r="E11" s="39">
        <v>2568</v>
      </c>
      <c r="F11" s="39">
        <v>28.5</v>
      </c>
      <c r="G11" s="39">
        <v>2357</v>
      </c>
      <c r="H11" s="80">
        <f>Raw_Data!$B11/Raw_Data!$C11</f>
        <v>0.56829511465603189</v>
      </c>
      <c r="I11" s="81">
        <f>(Raw_Data!$B11-B10)/B10</f>
        <v>2.7438413779291008E-2</v>
      </c>
      <c r="J11" s="80">
        <f>(Raw_Data!$B11-B7)/B7</f>
        <v>0.23525162533108596</v>
      </c>
      <c r="K11" s="83">
        <f t="shared" si="0"/>
        <v>3897</v>
      </c>
    </row>
    <row r="12" spans="1:11" ht="17" thickBot="1" x14ac:dyDescent="0.25">
      <c r="A12" s="91" t="s">
        <v>16</v>
      </c>
      <c r="B12" s="92">
        <v>5290</v>
      </c>
      <c r="C12" s="92">
        <v>9076</v>
      </c>
      <c r="D12" s="92">
        <v>75.099999999999994</v>
      </c>
      <c r="E12" s="92">
        <v>2566</v>
      </c>
      <c r="F12" s="92">
        <v>28.3</v>
      </c>
      <c r="G12" s="92">
        <v>1266</v>
      </c>
      <c r="H12" s="93">
        <f>Raw_Data!$B12/Raw_Data!$C12</f>
        <v>0.58285588364918461</v>
      </c>
      <c r="I12" s="94">
        <f>(Raw_Data!$B12-B11)/B11</f>
        <v>3.1189083820662766E-2</v>
      </c>
      <c r="J12" s="93">
        <f>(Raw_Data!$B12-B8)/B8</f>
        <v>0.21581245690645828</v>
      </c>
      <c r="K12" s="95">
        <f t="shared" si="0"/>
        <v>3786</v>
      </c>
    </row>
  </sheetData>
  <mergeCells count="3">
    <mergeCell ref="A1:K1"/>
    <mergeCell ref="A2:K2"/>
    <mergeCell ref="A3:K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5E358-6689-A94B-99A4-71395B1B88D3}">
  <dimension ref="A1:I19"/>
  <sheetViews>
    <sheetView showGridLines="0" zoomScale="125" workbookViewId="0">
      <selection activeCell="D22" sqref="D22"/>
    </sheetView>
  </sheetViews>
  <sheetFormatPr baseColWidth="10" defaultRowHeight="16" x14ac:dyDescent="0.2"/>
  <cols>
    <col min="1" max="1" width="40.6640625" customWidth="1"/>
    <col min="2" max="2" width="18.6640625" customWidth="1"/>
    <col min="3" max="3" width="35.6640625" customWidth="1"/>
    <col min="4" max="4" width="37.5" customWidth="1"/>
    <col min="5" max="5" width="15.6640625" customWidth="1"/>
    <col min="6" max="6" width="16.33203125" customWidth="1"/>
  </cols>
  <sheetData>
    <row r="1" spans="1:9" ht="28" thickBot="1" x14ac:dyDescent="0.4">
      <c r="A1" s="58" t="s">
        <v>73</v>
      </c>
      <c r="B1" s="135" t="s">
        <v>74</v>
      </c>
      <c r="C1" s="136"/>
      <c r="D1" s="137"/>
      <c r="E1" s="46"/>
      <c r="F1" s="46"/>
      <c r="G1" s="46"/>
      <c r="H1" s="46"/>
      <c r="I1" s="46"/>
    </row>
    <row r="3" spans="1:9" ht="17" thickBot="1" x14ac:dyDescent="0.25"/>
    <row r="4" spans="1:9" ht="20" thickBot="1" x14ac:dyDescent="0.3">
      <c r="A4" s="96" t="s">
        <v>75</v>
      </c>
      <c r="B4" s="96" t="s">
        <v>76</v>
      </c>
      <c r="C4" s="96" t="s">
        <v>77</v>
      </c>
      <c r="D4" s="57" t="s">
        <v>78</v>
      </c>
      <c r="E4" s="56"/>
    </row>
    <row r="5" spans="1:9" x14ac:dyDescent="0.2">
      <c r="A5" s="97" t="s">
        <v>79</v>
      </c>
      <c r="B5" s="100">
        <f>AVERAGE(Raw_Data!I7:I12)</f>
        <v>5.1028382957088503E-2</v>
      </c>
      <c r="C5" s="97" t="s">
        <v>80</v>
      </c>
      <c r="D5" s="97" t="s">
        <v>81</v>
      </c>
      <c r="E5" s="5"/>
    </row>
    <row r="6" spans="1:9" ht="17" x14ac:dyDescent="0.25">
      <c r="A6" s="98" t="s">
        <v>82</v>
      </c>
      <c r="B6" s="101">
        <f>((Raw_Data!B12/Raw_Data!B6)^(1/((ROWS(Raw_Data!B6:B12)-1)/4)))-1</f>
        <v>0.21952150189911501</v>
      </c>
      <c r="C6" s="98" t="s">
        <v>83</v>
      </c>
      <c r="D6" s="98" t="s">
        <v>84</v>
      </c>
      <c r="E6" s="5"/>
    </row>
    <row r="7" spans="1:9" x14ac:dyDescent="0.2">
      <c r="A7" s="98" t="s">
        <v>85</v>
      </c>
      <c r="B7" s="102">
        <f>Raw_Data!D12-Raw_Data!D6</f>
        <v>2.5999999999999943</v>
      </c>
      <c r="C7" s="98" t="s">
        <v>86</v>
      </c>
      <c r="D7" s="98" t="s">
        <v>87</v>
      </c>
      <c r="E7" s="5"/>
    </row>
    <row r="8" spans="1:9" x14ac:dyDescent="0.2">
      <c r="A8" s="98" t="s">
        <v>88</v>
      </c>
      <c r="B8" s="103">
        <v>0.03</v>
      </c>
      <c r="C8" s="98" t="s">
        <v>89</v>
      </c>
      <c r="D8" s="98" t="s">
        <v>90</v>
      </c>
      <c r="E8" s="5"/>
    </row>
    <row r="9" spans="1:9" ht="17" thickBot="1" x14ac:dyDescent="0.25">
      <c r="A9" s="98"/>
      <c r="B9" s="98"/>
      <c r="C9" s="98"/>
      <c r="D9" s="98"/>
      <c r="E9" s="5"/>
    </row>
    <row r="10" spans="1:9" x14ac:dyDescent="0.2">
      <c r="A10" s="98" t="s">
        <v>91</v>
      </c>
      <c r="B10" s="104">
        <f>_xlfn.STDEV.S(Raw_Data!B6:B12)</f>
        <v>519.40762962656174</v>
      </c>
      <c r="C10" s="98" t="s">
        <v>92</v>
      </c>
      <c r="D10" s="98" t="s">
        <v>93</v>
      </c>
      <c r="E10" s="24" t="s">
        <v>98</v>
      </c>
      <c r="F10" s="23"/>
      <c r="G10" s="23"/>
      <c r="H10" s="23"/>
      <c r="I10" s="34"/>
    </row>
    <row r="11" spans="1:9" ht="18" thickBot="1" x14ac:dyDescent="0.3">
      <c r="A11" s="99" t="s">
        <v>94</v>
      </c>
      <c r="B11" s="105">
        <f>B10/AVERAGE(Raw_Data!B6:B12)</f>
        <v>0.11169027147685105</v>
      </c>
      <c r="C11" s="106" t="s">
        <v>95</v>
      </c>
      <c r="D11" s="99" t="s">
        <v>96</v>
      </c>
      <c r="E11" s="59" t="s">
        <v>97</v>
      </c>
      <c r="F11" s="30"/>
      <c r="G11" s="30"/>
      <c r="H11" s="30"/>
      <c r="I11" s="43"/>
    </row>
    <row r="13" spans="1:9" ht="17" thickBot="1" x14ac:dyDescent="0.25"/>
    <row r="14" spans="1:9" ht="25" thickBot="1" x14ac:dyDescent="0.25">
      <c r="A14" s="132" t="s">
        <v>99</v>
      </c>
      <c r="B14" s="133"/>
      <c r="C14" s="133"/>
      <c r="D14" s="133"/>
      <c r="E14" s="134"/>
    </row>
    <row r="15" spans="1:9" ht="17" thickBot="1" x14ac:dyDescent="0.25">
      <c r="A15" s="107" t="s">
        <v>75</v>
      </c>
      <c r="B15" s="122" t="s">
        <v>10</v>
      </c>
      <c r="C15" s="122" t="s">
        <v>16</v>
      </c>
      <c r="D15" s="117" t="s">
        <v>100</v>
      </c>
      <c r="E15" s="108" t="s">
        <v>101</v>
      </c>
    </row>
    <row r="16" spans="1:9" x14ac:dyDescent="0.2">
      <c r="A16" s="109" t="s">
        <v>102</v>
      </c>
      <c r="B16" s="118">
        <f>Raw_Data!B6</f>
        <v>3928</v>
      </c>
      <c r="C16" s="118">
        <f>Raw_Data!B12</f>
        <v>5290</v>
      </c>
      <c r="D16" s="118">
        <f>C16-B16</f>
        <v>1362</v>
      </c>
      <c r="E16" s="110">
        <f>(C16-B16)/B16</f>
        <v>0.34674134419551933</v>
      </c>
    </row>
    <row r="17" spans="1:5" x14ac:dyDescent="0.2">
      <c r="A17" s="111" t="s">
        <v>103</v>
      </c>
      <c r="B17" s="119">
        <f>Raw_Data!H6</f>
        <v>0.48849645566471833</v>
      </c>
      <c r="C17" s="119">
        <f>Raw_Data!H12</f>
        <v>0.58285588364918461</v>
      </c>
      <c r="D17" s="119">
        <f>C17-B17</f>
        <v>9.4359427984466282E-2</v>
      </c>
      <c r="E17" s="112">
        <f>(C17-B17)/B17</f>
        <v>0.19316297363113374</v>
      </c>
    </row>
    <row r="18" spans="1:5" x14ac:dyDescent="0.2">
      <c r="A18" s="113" t="s">
        <v>104</v>
      </c>
      <c r="B18" s="120">
        <f>Raw_Data!D6</f>
        <v>72.5</v>
      </c>
      <c r="C18" s="120">
        <f>Raw_Data!D12</f>
        <v>75.099999999999994</v>
      </c>
      <c r="D18" s="120">
        <f>C18-B18</f>
        <v>2.5999999999999943</v>
      </c>
      <c r="E18" s="114">
        <f>(C18-B18)/B18</f>
        <v>3.5862068965517163E-2</v>
      </c>
    </row>
    <row r="19" spans="1:5" ht="17" thickBot="1" x14ac:dyDescent="0.25">
      <c r="A19" s="115" t="s">
        <v>105</v>
      </c>
      <c r="B19" s="121">
        <f>Raw_Data!F6</f>
        <v>19.100000000000001</v>
      </c>
      <c r="C19" s="121">
        <f>Raw_Data!F12</f>
        <v>28.3</v>
      </c>
      <c r="D19" s="121">
        <f>C19-B19</f>
        <v>9.1999999999999993</v>
      </c>
      <c r="E19" s="116">
        <f>(C19-B19)/B19</f>
        <v>0.48167539267015702</v>
      </c>
    </row>
  </sheetData>
  <mergeCells count="2">
    <mergeCell ref="A14:E14"/>
    <mergeCell ref="B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80153-C861-804F-888B-B501B993B553}">
  <dimension ref="A1:H34"/>
  <sheetViews>
    <sheetView showGridLines="0" tabSelected="1" topLeftCell="A10" zoomScale="125" workbookViewId="0">
      <selection activeCell="A4" sqref="A4"/>
    </sheetView>
  </sheetViews>
  <sheetFormatPr baseColWidth="10" defaultRowHeight="16" x14ac:dyDescent="0.2"/>
  <cols>
    <col min="1" max="1" width="33.5" customWidth="1"/>
    <col min="2" max="3" width="19.5" customWidth="1"/>
    <col min="4" max="4" width="19" customWidth="1"/>
    <col min="5" max="5" width="25.6640625" customWidth="1"/>
    <col min="6" max="6" width="25.83203125" customWidth="1"/>
    <col min="7" max="7" width="11" customWidth="1"/>
  </cols>
  <sheetData>
    <row r="1" spans="1:8" ht="28" thickBot="1" x14ac:dyDescent="0.4">
      <c r="A1" s="147" t="s">
        <v>126</v>
      </c>
      <c r="B1" s="147"/>
      <c r="C1" s="147"/>
      <c r="D1" s="147"/>
      <c r="E1" s="147"/>
      <c r="F1" s="147"/>
    </row>
    <row r="2" spans="1:8" ht="17" thickBot="1" x14ac:dyDescent="0.25">
      <c r="A2" s="148" t="s">
        <v>127</v>
      </c>
      <c r="B2" s="149"/>
      <c r="C2" s="149"/>
      <c r="D2" s="149"/>
      <c r="E2" s="149"/>
      <c r="F2" s="150"/>
    </row>
    <row r="4" spans="1:8" ht="17" thickBot="1" x14ac:dyDescent="0.25">
      <c r="A4" s="3" t="s">
        <v>128</v>
      </c>
      <c r="B4" t="s">
        <v>142</v>
      </c>
      <c r="C4" t="s">
        <v>129</v>
      </c>
      <c r="D4" t="s">
        <v>130</v>
      </c>
      <c r="E4" t="s">
        <v>131</v>
      </c>
      <c r="F4" t="s">
        <v>132</v>
      </c>
    </row>
    <row r="5" spans="1:8" ht="17" x14ac:dyDescent="0.25">
      <c r="A5" s="24" t="s">
        <v>133</v>
      </c>
      <c r="B5" s="23">
        <v>1742</v>
      </c>
      <c r="C5" s="23">
        <v>2271</v>
      </c>
      <c r="D5" s="62">
        <f>(C5-B5)/B5</f>
        <v>0.3036739380022962</v>
      </c>
      <c r="E5" s="63">
        <v>4245</v>
      </c>
      <c r="F5" s="60">
        <f>C5/E5</f>
        <v>0.53498233215547708</v>
      </c>
    </row>
    <row r="6" spans="1:8" ht="17" x14ac:dyDescent="0.25">
      <c r="A6" s="26" t="s">
        <v>134</v>
      </c>
      <c r="B6">
        <v>1989</v>
      </c>
      <c r="C6">
        <v>2247</v>
      </c>
      <c r="D6" s="64">
        <f>(C6-B6)/B6</f>
        <v>0.1297134238310709</v>
      </c>
      <c r="E6">
        <v>3546</v>
      </c>
      <c r="F6" s="65">
        <f>C6/E6</f>
        <v>0.63367174280879868</v>
      </c>
    </row>
    <row r="7" spans="1:8" ht="17" x14ac:dyDescent="0.25">
      <c r="A7" s="26" t="s">
        <v>135</v>
      </c>
      <c r="B7">
        <v>620</v>
      </c>
      <c r="C7">
        <v>772</v>
      </c>
      <c r="D7" s="64">
        <f>(C7-B7)/B7</f>
        <v>0.24516129032258063</v>
      </c>
      <c r="E7">
        <v>1285</v>
      </c>
      <c r="F7" s="65">
        <f>C7/E7</f>
        <v>0.60077821011673149</v>
      </c>
    </row>
    <row r="8" spans="1:8" ht="17" thickBot="1" x14ac:dyDescent="0.25">
      <c r="A8" s="28" t="s">
        <v>136</v>
      </c>
      <c r="B8" s="30">
        <f>SUM(B5:B7)</f>
        <v>4351</v>
      </c>
      <c r="C8" s="30">
        <f>SUM(C5:C7)</f>
        <v>5290</v>
      </c>
      <c r="D8" s="30"/>
      <c r="E8" s="30"/>
      <c r="F8" s="43"/>
    </row>
    <row r="9" spans="1:8" ht="17" thickBot="1" x14ac:dyDescent="0.25"/>
    <row r="10" spans="1:8" ht="17" thickBot="1" x14ac:dyDescent="0.25">
      <c r="A10" s="154" t="s">
        <v>137</v>
      </c>
      <c r="B10" s="155"/>
      <c r="C10" s="156"/>
    </row>
    <row r="11" spans="1:8" ht="17" thickBot="1" x14ac:dyDescent="0.25">
      <c r="A11" s="3" t="s">
        <v>128</v>
      </c>
      <c r="B11" t="s">
        <v>138</v>
      </c>
      <c r="C11" t="s">
        <v>139</v>
      </c>
      <c r="D11" t="s">
        <v>140</v>
      </c>
      <c r="E11" t="s">
        <v>141</v>
      </c>
    </row>
    <row r="12" spans="1:8" x14ac:dyDescent="0.2">
      <c r="A12" s="24" t="s">
        <v>133</v>
      </c>
      <c r="B12" s="23">
        <f t="shared" ref="B12:C14" si="0">C5</f>
        <v>2271</v>
      </c>
      <c r="C12" s="66">
        <f t="shared" si="0"/>
        <v>0.3036739380022962</v>
      </c>
      <c r="D12" s="67">
        <f>F5</f>
        <v>0.53498233215547708</v>
      </c>
      <c r="E12" s="34" t="str">
        <f>IF(AND(D11&gt;0.25,C11&gt;2000),"High Growth + Large Market","") &amp; IF(AND(D11&gt;0.25,C11&lt;2000),"High Growth Opportunity","") &amp; IF(AND(D11&lt;0.15,C11&gt;2000),"Mature Market","")</f>
        <v>High Growth + Large Market</v>
      </c>
      <c r="F12" s="24" t="s">
        <v>143</v>
      </c>
      <c r="G12" s="23"/>
      <c r="H12" s="34"/>
    </row>
    <row r="13" spans="1:8" x14ac:dyDescent="0.2">
      <c r="A13" s="26" t="s">
        <v>134</v>
      </c>
      <c r="B13">
        <f t="shared" si="0"/>
        <v>2247</v>
      </c>
      <c r="C13" s="68">
        <f t="shared" si="0"/>
        <v>0.1297134238310709</v>
      </c>
      <c r="D13" s="61">
        <f>F6</f>
        <v>0.63367174280879868</v>
      </c>
      <c r="E13" s="35" t="str">
        <f t="shared" ref="E13:E14" si="1">IF(AND(D12&gt;0.25,C12&gt;2000),"High Growth + Large Market","") &amp; IF(AND(D12&gt;0.25,C12&lt;2000),"High Growth Opportunity","") &amp; IF(AND(D12&lt;0.15,C12&gt;2000),"Mature Market","")</f>
        <v>High Growth Opportunity</v>
      </c>
      <c r="F13" s="26" t="s">
        <v>144</v>
      </c>
      <c r="H13" s="35"/>
    </row>
    <row r="14" spans="1:8" ht="17" thickBot="1" x14ac:dyDescent="0.25">
      <c r="A14" s="28" t="s">
        <v>135</v>
      </c>
      <c r="B14" s="30">
        <f t="shared" si="0"/>
        <v>772</v>
      </c>
      <c r="C14" s="69">
        <f t="shared" si="0"/>
        <v>0.24516129032258063</v>
      </c>
      <c r="D14" s="70">
        <f>F7</f>
        <v>0.60077821011673149</v>
      </c>
      <c r="E14" s="43" t="str">
        <f t="shared" si="1"/>
        <v>High Growth Opportunity</v>
      </c>
      <c r="F14" s="28" t="s">
        <v>145</v>
      </c>
      <c r="G14" s="30"/>
      <c r="H14" s="43"/>
    </row>
    <row r="15" spans="1:8" ht="17" thickBot="1" x14ac:dyDescent="0.25"/>
    <row r="16" spans="1:8" ht="25" thickBot="1" x14ac:dyDescent="0.35">
      <c r="A16" s="151" t="s">
        <v>146</v>
      </c>
      <c r="B16" s="152"/>
      <c r="C16" s="153"/>
    </row>
    <row r="17" spans="1:3" x14ac:dyDescent="0.2">
      <c r="A17" s="24" t="s">
        <v>147</v>
      </c>
      <c r="B17" s="40">
        <f>C5/C8</f>
        <v>0.4293005671077505</v>
      </c>
      <c r="C17" s="34"/>
    </row>
    <row r="18" spans="1:3" x14ac:dyDescent="0.2">
      <c r="A18" s="26" t="s">
        <v>148</v>
      </c>
      <c r="B18" s="41">
        <f>C6/C8</f>
        <v>0.42476370510396977</v>
      </c>
      <c r="C18" s="35"/>
    </row>
    <row r="19" spans="1:3" x14ac:dyDescent="0.2">
      <c r="A19" s="26" t="s">
        <v>149</v>
      </c>
      <c r="B19" s="41">
        <f>C7/C8</f>
        <v>0.14593572778827976</v>
      </c>
      <c r="C19" s="35"/>
    </row>
    <row r="20" spans="1:3" x14ac:dyDescent="0.2">
      <c r="A20" s="26"/>
      <c r="C20" s="35"/>
    </row>
    <row r="21" spans="1:3" ht="17" thickBot="1" x14ac:dyDescent="0.25">
      <c r="A21" s="28" t="s">
        <v>150</v>
      </c>
      <c r="B21" s="42">
        <f>(B17^2+B18^2+B19^2)*10000</f>
        <v>3860.2041873778326</v>
      </c>
      <c r="C21" s="43"/>
    </row>
    <row r="22" spans="1:3" ht="17" thickBot="1" x14ac:dyDescent="0.25">
      <c r="B22" s="1"/>
    </row>
    <row r="23" spans="1:3" x14ac:dyDescent="0.2">
      <c r="A23" s="138" t="s">
        <v>173</v>
      </c>
      <c r="B23" s="139"/>
      <c r="C23" s="140"/>
    </row>
    <row r="24" spans="1:3" ht="16" customHeight="1" x14ac:dyDescent="0.2">
      <c r="A24" s="141"/>
      <c r="B24" s="142"/>
      <c r="C24" s="143"/>
    </row>
    <row r="25" spans="1:3" x14ac:dyDescent="0.2">
      <c r="A25" s="141"/>
      <c r="B25" s="142"/>
      <c r="C25" s="143"/>
    </row>
    <row r="26" spans="1:3" x14ac:dyDescent="0.2">
      <c r="A26" s="141"/>
      <c r="B26" s="142"/>
      <c r="C26" s="143"/>
    </row>
    <row r="27" spans="1:3" x14ac:dyDescent="0.2">
      <c r="A27" s="141"/>
      <c r="B27" s="142"/>
      <c r="C27" s="143"/>
    </row>
    <row r="28" spans="1:3" x14ac:dyDescent="0.2">
      <c r="A28" s="141"/>
      <c r="B28" s="142"/>
      <c r="C28" s="143"/>
    </row>
    <row r="29" spans="1:3" ht="17" thickBot="1" x14ac:dyDescent="0.25">
      <c r="A29" s="144"/>
      <c r="B29" s="145"/>
      <c r="C29" s="146"/>
    </row>
    <row r="30" spans="1:3" ht="17" thickBot="1" x14ac:dyDescent="0.25"/>
    <row r="31" spans="1:3" ht="16" customHeight="1" x14ac:dyDescent="0.2">
      <c r="A31" s="157" t="s">
        <v>151</v>
      </c>
      <c r="B31" s="158"/>
      <c r="C31" s="159"/>
    </row>
    <row r="32" spans="1:3" x14ac:dyDescent="0.2">
      <c r="A32" s="160"/>
      <c r="B32" s="161"/>
      <c r="C32" s="162"/>
    </row>
    <row r="33" spans="1:3" x14ac:dyDescent="0.2">
      <c r="A33" s="160"/>
      <c r="B33" s="161"/>
      <c r="C33" s="162"/>
    </row>
    <row r="34" spans="1:3" ht="17" thickBot="1" x14ac:dyDescent="0.25">
      <c r="A34" s="163"/>
      <c r="B34" s="164"/>
      <c r="C34" s="165"/>
    </row>
  </sheetData>
  <mergeCells count="6">
    <mergeCell ref="A31:C34"/>
    <mergeCell ref="A23:C29"/>
    <mergeCell ref="A1:F1"/>
    <mergeCell ref="A2:F2"/>
    <mergeCell ref="A16:C16"/>
    <mergeCell ref="A10:C10"/>
  </mergeCells>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72FDA-6F55-F243-B3A3-135128E2FC31}">
  <dimension ref="A1:M35"/>
  <sheetViews>
    <sheetView showGridLines="0" zoomScale="117" workbookViewId="0">
      <selection activeCell="M22" sqref="M22"/>
    </sheetView>
  </sheetViews>
  <sheetFormatPr baseColWidth="10" defaultRowHeight="16" x14ac:dyDescent="0.2"/>
  <cols>
    <col min="1" max="1" width="16.1640625" customWidth="1"/>
    <col min="2" max="2" width="19.1640625" customWidth="1"/>
    <col min="3" max="3" width="12.83203125" customWidth="1"/>
    <col min="6" max="6" width="24.33203125" customWidth="1"/>
    <col min="7" max="7" width="15.33203125" customWidth="1"/>
  </cols>
  <sheetData>
    <row r="1" spans="1:8" ht="28" thickBot="1" x14ac:dyDescent="0.4">
      <c r="A1" s="176" t="s">
        <v>106</v>
      </c>
      <c r="B1" s="177"/>
      <c r="C1" s="177"/>
      <c r="D1" s="177"/>
      <c r="E1" s="177"/>
      <c r="F1" s="178"/>
    </row>
    <row r="2" spans="1:8" ht="17" thickBot="1" x14ac:dyDescent="0.25">
      <c r="A2" s="179" t="s">
        <v>107</v>
      </c>
      <c r="B2" s="180"/>
      <c r="C2" s="180"/>
      <c r="D2" s="180"/>
      <c r="E2" s="180"/>
      <c r="F2" s="181"/>
    </row>
    <row r="3" spans="1:8" ht="17" thickBot="1" x14ac:dyDescent="0.25">
      <c r="A3" s="179" t="s">
        <v>108</v>
      </c>
      <c r="B3" s="180"/>
      <c r="C3" s="180"/>
      <c r="D3" s="180"/>
      <c r="E3" s="180"/>
      <c r="F3" s="181"/>
    </row>
    <row r="4" spans="1:8" ht="17" thickBot="1" x14ac:dyDescent="0.25">
      <c r="F4" s="130"/>
      <c r="G4" s="130"/>
    </row>
    <row r="5" spans="1:8" ht="17" thickBot="1" x14ac:dyDescent="0.25">
      <c r="A5" t="s">
        <v>109</v>
      </c>
      <c r="B5" t="s">
        <v>102</v>
      </c>
      <c r="C5" t="s">
        <v>110</v>
      </c>
      <c r="D5" t="s">
        <v>111</v>
      </c>
      <c r="F5" s="154" t="s">
        <v>112</v>
      </c>
      <c r="G5" s="156"/>
    </row>
    <row r="6" spans="1:8" x14ac:dyDescent="0.2">
      <c r="A6">
        <v>1</v>
      </c>
      <c r="B6">
        <f>Raw_Data!B6</f>
        <v>3928</v>
      </c>
      <c r="C6" s="2">
        <f t="shared" ref="C6:C12" si="0">$G$7+$G$6*A6</f>
        <v>3934.5000000000005</v>
      </c>
      <c r="D6" s="2">
        <f>B6-C6</f>
        <v>-6.5000000000004547</v>
      </c>
      <c r="F6" s="24" t="s">
        <v>113</v>
      </c>
      <c r="G6" s="25">
        <f>SLOPE(B6:B12,A6:A12)</f>
        <v>238.64285714285714</v>
      </c>
    </row>
    <row r="7" spans="1:8" x14ac:dyDescent="0.2">
      <c r="A7">
        <v>2</v>
      </c>
      <c r="B7">
        <f>Raw_Data!B7</f>
        <v>4153</v>
      </c>
      <c r="C7" s="2">
        <f t="shared" si="0"/>
        <v>4173.1428571428578</v>
      </c>
      <c r="D7" s="2">
        <f t="shared" ref="D7:D12" si="1">B7-C7</f>
        <v>-20.142857142857792</v>
      </c>
      <c r="F7" s="26" t="s">
        <v>114</v>
      </c>
      <c r="G7" s="27">
        <f>INTERCEPT(B6:B12,A6:A12)</f>
        <v>3695.8571428571431</v>
      </c>
    </row>
    <row r="8" spans="1:8" x14ac:dyDescent="0.2">
      <c r="A8">
        <v>3</v>
      </c>
      <c r="B8">
        <f>Raw_Data!B8</f>
        <v>4351</v>
      </c>
      <c r="C8" s="2">
        <f t="shared" si="0"/>
        <v>4411.7857142857147</v>
      </c>
      <c r="D8" s="2">
        <f t="shared" si="1"/>
        <v>-60.785714285714675</v>
      </c>
      <c r="F8" s="26" t="s">
        <v>115</v>
      </c>
      <c r="G8" s="27">
        <f>RSQ(B6:B12,A6:A12)</f>
        <v>0.98511518020570255</v>
      </c>
    </row>
    <row r="9" spans="1:8" ht="17" thickBot="1" x14ac:dyDescent="0.25">
      <c r="A9">
        <v>4</v>
      </c>
      <c r="B9">
        <f>Raw_Data!B9</f>
        <v>4708</v>
      </c>
      <c r="C9" s="2">
        <f t="shared" si="0"/>
        <v>4650.4285714285716</v>
      </c>
      <c r="D9" s="2">
        <f t="shared" si="1"/>
        <v>57.571428571428442</v>
      </c>
      <c r="F9" s="28" t="s">
        <v>116</v>
      </c>
      <c r="G9" s="29">
        <f>STEYX(B6:B12,A6:A12)</f>
        <v>69.417782818443172</v>
      </c>
    </row>
    <row r="10" spans="1:8" ht="17" thickBot="1" x14ac:dyDescent="0.25">
      <c r="A10">
        <v>5</v>
      </c>
      <c r="B10">
        <f>Raw_Data!B10</f>
        <v>4993</v>
      </c>
      <c r="C10" s="2">
        <f t="shared" si="0"/>
        <v>4889.0714285714294</v>
      </c>
      <c r="D10" s="2">
        <f t="shared" si="1"/>
        <v>103.92857142857065</v>
      </c>
      <c r="F10" s="149"/>
      <c r="G10" s="149"/>
    </row>
    <row r="11" spans="1:8" x14ac:dyDescent="0.2">
      <c r="A11">
        <v>6</v>
      </c>
      <c r="B11">
        <f>Raw_Data!B11</f>
        <v>5130</v>
      </c>
      <c r="C11" s="2">
        <f t="shared" si="0"/>
        <v>5127.7142857142862</v>
      </c>
      <c r="D11" s="2">
        <f t="shared" si="1"/>
        <v>2.285714285713766</v>
      </c>
      <c r="F11" s="24" t="s">
        <v>117</v>
      </c>
      <c r="G11" s="23" t="s">
        <v>118</v>
      </c>
      <c r="H11" s="32">
        <f>B13-(1.96*G9)</f>
        <v>5468.9411456758517</v>
      </c>
    </row>
    <row r="12" spans="1:8" ht="17" thickBot="1" x14ac:dyDescent="0.25">
      <c r="A12">
        <v>7</v>
      </c>
      <c r="B12">
        <f>Raw_Data!B12</f>
        <v>5290</v>
      </c>
      <c r="C12" s="2">
        <f t="shared" si="0"/>
        <v>5366.3571428571431</v>
      </c>
      <c r="D12" s="2">
        <f t="shared" si="1"/>
        <v>-76.357142857143117</v>
      </c>
      <c r="F12" s="28"/>
      <c r="G12" s="30" t="s">
        <v>119</v>
      </c>
      <c r="H12" s="33">
        <f>B13+(1.96*G9)</f>
        <v>5741.0588543241483</v>
      </c>
    </row>
    <row r="13" spans="1:8" ht="17" thickBot="1" x14ac:dyDescent="0.25">
      <c r="A13">
        <v>8</v>
      </c>
      <c r="B13" s="1">
        <f>$G$7+$G$6*A13</f>
        <v>5605</v>
      </c>
      <c r="F13" s="149"/>
      <c r="G13" s="149"/>
    </row>
    <row r="14" spans="1:8" ht="17" thickBot="1" x14ac:dyDescent="0.25">
      <c r="F14" s="154" t="s">
        <v>120</v>
      </c>
      <c r="G14" s="156"/>
    </row>
    <row r="15" spans="1:8" x14ac:dyDescent="0.2">
      <c r="F15" s="26" t="s">
        <v>121</v>
      </c>
      <c r="G15" s="35">
        <v>21600</v>
      </c>
    </row>
    <row r="16" spans="1:8" x14ac:dyDescent="0.2">
      <c r="F16" s="26" t="s">
        <v>122</v>
      </c>
      <c r="G16" s="35">
        <f>SUM(Raw_Data!B10:B12)</f>
        <v>15413</v>
      </c>
    </row>
    <row r="17" spans="2:13" x14ac:dyDescent="0.2">
      <c r="F17" s="26" t="s">
        <v>123</v>
      </c>
      <c r="G17" s="35">
        <f>G15-G16</f>
        <v>6187</v>
      </c>
    </row>
    <row r="18" spans="2:13" ht="17" thickBot="1" x14ac:dyDescent="0.25">
      <c r="F18" s="28" t="s">
        <v>124</v>
      </c>
      <c r="G18" s="31">
        <f>B13</f>
        <v>5605</v>
      </c>
    </row>
    <row r="19" spans="2:13" x14ac:dyDescent="0.2">
      <c r="F19" s="127"/>
      <c r="G19" s="127"/>
    </row>
    <row r="20" spans="2:13" ht="17" thickBot="1" x14ac:dyDescent="0.25">
      <c r="F20" s="175"/>
      <c r="G20" s="175"/>
    </row>
    <row r="21" spans="2:13" ht="16" customHeight="1" x14ac:dyDescent="0.3">
      <c r="B21" s="36"/>
      <c r="C21" s="166" t="s">
        <v>125</v>
      </c>
      <c r="D21" s="167"/>
      <c r="E21" s="167"/>
      <c r="F21" s="167"/>
      <c r="G21" s="167"/>
      <c r="H21" s="167"/>
      <c r="I21" s="167"/>
      <c r="J21" s="167"/>
      <c r="K21" s="168"/>
      <c r="L21" s="37"/>
      <c r="M21" s="37"/>
    </row>
    <row r="22" spans="2:13" x14ac:dyDescent="0.2">
      <c r="B22" s="37"/>
      <c r="C22" s="169"/>
      <c r="D22" s="170"/>
      <c r="E22" s="170"/>
      <c r="F22" s="170"/>
      <c r="G22" s="170"/>
      <c r="H22" s="170"/>
      <c r="I22" s="170"/>
      <c r="J22" s="170"/>
      <c r="K22" s="171"/>
      <c r="L22" s="37"/>
      <c r="M22" s="37"/>
    </row>
    <row r="23" spans="2:13" x14ac:dyDescent="0.2">
      <c r="B23" s="37"/>
      <c r="C23" s="169"/>
      <c r="D23" s="170"/>
      <c r="E23" s="170"/>
      <c r="F23" s="170"/>
      <c r="G23" s="170"/>
      <c r="H23" s="170"/>
      <c r="I23" s="170"/>
      <c r="J23" s="170"/>
      <c r="K23" s="171"/>
      <c r="L23" s="37"/>
      <c r="M23" s="37"/>
    </row>
    <row r="24" spans="2:13" x14ac:dyDescent="0.2">
      <c r="B24" s="37"/>
      <c r="C24" s="169"/>
      <c r="D24" s="170"/>
      <c r="E24" s="170"/>
      <c r="F24" s="170"/>
      <c r="G24" s="170"/>
      <c r="H24" s="170"/>
      <c r="I24" s="170"/>
      <c r="J24" s="170"/>
      <c r="K24" s="171"/>
      <c r="L24" s="37"/>
      <c r="M24" s="37"/>
    </row>
    <row r="25" spans="2:13" x14ac:dyDescent="0.2">
      <c r="B25" s="37"/>
      <c r="C25" s="169"/>
      <c r="D25" s="170"/>
      <c r="E25" s="170"/>
      <c r="F25" s="170"/>
      <c r="G25" s="170"/>
      <c r="H25" s="170"/>
      <c r="I25" s="170"/>
      <c r="J25" s="170"/>
      <c r="K25" s="171"/>
      <c r="L25" s="37"/>
      <c r="M25" s="37"/>
    </row>
    <row r="26" spans="2:13" x14ac:dyDescent="0.2">
      <c r="B26" s="37"/>
      <c r="C26" s="169"/>
      <c r="D26" s="170"/>
      <c r="E26" s="170"/>
      <c r="F26" s="170"/>
      <c r="G26" s="170"/>
      <c r="H26" s="170"/>
      <c r="I26" s="170"/>
      <c r="J26" s="170"/>
      <c r="K26" s="171"/>
      <c r="L26" s="37"/>
      <c r="M26" s="37"/>
    </row>
    <row r="27" spans="2:13" x14ac:dyDescent="0.2">
      <c r="B27" s="37"/>
      <c r="C27" s="169"/>
      <c r="D27" s="170"/>
      <c r="E27" s="170"/>
      <c r="F27" s="170"/>
      <c r="G27" s="170"/>
      <c r="H27" s="170"/>
      <c r="I27" s="170"/>
      <c r="J27" s="170"/>
      <c r="K27" s="171"/>
      <c r="L27" s="37"/>
      <c r="M27" s="37"/>
    </row>
    <row r="28" spans="2:13" x14ac:dyDescent="0.2">
      <c r="B28" s="37"/>
      <c r="C28" s="169"/>
      <c r="D28" s="170"/>
      <c r="E28" s="170"/>
      <c r="F28" s="170"/>
      <c r="G28" s="170"/>
      <c r="H28" s="170"/>
      <c r="I28" s="170"/>
      <c r="J28" s="170"/>
      <c r="K28" s="171"/>
      <c r="L28" s="37"/>
      <c r="M28" s="37"/>
    </row>
    <row r="29" spans="2:13" x14ac:dyDescent="0.2">
      <c r="C29" s="169"/>
      <c r="D29" s="170"/>
      <c r="E29" s="170"/>
      <c r="F29" s="170"/>
      <c r="G29" s="170"/>
      <c r="H29" s="170"/>
      <c r="I29" s="170"/>
      <c r="J29" s="170"/>
      <c r="K29" s="171"/>
    </row>
    <row r="30" spans="2:13" x14ac:dyDescent="0.2">
      <c r="C30" s="169"/>
      <c r="D30" s="170"/>
      <c r="E30" s="170"/>
      <c r="F30" s="170"/>
      <c r="G30" s="170"/>
      <c r="H30" s="170"/>
      <c r="I30" s="170"/>
      <c r="J30" s="170"/>
      <c r="K30" s="171"/>
    </row>
    <row r="31" spans="2:13" x14ac:dyDescent="0.2">
      <c r="C31" s="169"/>
      <c r="D31" s="170"/>
      <c r="E31" s="170"/>
      <c r="F31" s="170"/>
      <c r="G31" s="170"/>
      <c r="H31" s="170"/>
      <c r="I31" s="170"/>
      <c r="J31" s="170"/>
      <c r="K31" s="171"/>
    </row>
    <row r="32" spans="2:13" x14ac:dyDescent="0.2">
      <c r="C32" s="169"/>
      <c r="D32" s="170"/>
      <c r="E32" s="170"/>
      <c r="F32" s="170"/>
      <c r="G32" s="170"/>
      <c r="H32" s="170"/>
      <c r="I32" s="170"/>
      <c r="J32" s="170"/>
      <c r="K32" s="171"/>
    </row>
    <row r="33" spans="3:11" x14ac:dyDescent="0.2">
      <c r="C33" s="169"/>
      <c r="D33" s="170"/>
      <c r="E33" s="170"/>
      <c r="F33" s="170"/>
      <c r="G33" s="170"/>
      <c r="H33" s="170"/>
      <c r="I33" s="170"/>
      <c r="J33" s="170"/>
      <c r="K33" s="171"/>
    </row>
    <row r="34" spans="3:11" x14ac:dyDescent="0.2">
      <c r="C34" s="169"/>
      <c r="D34" s="170"/>
      <c r="E34" s="170"/>
      <c r="F34" s="170"/>
      <c r="G34" s="170"/>
      <c r="H34" s="170"/>
      <c r="I34" s="170"/>
      <c r="J34" s="170"/>
      <c r="K34" s="171"/>
    </row>
    <row r="35" spans="3:11" ht="17" thickBot="1" x14ac:dyDescent="0.25">
      <c r="C35" s="172"/>
      <c r="D35" s="173"/>
      <c r="E35" s="173"/>
      <c r="F35" s="173"/>
      <c r="G35" s="173"/>
      <c r="H35" s="173"/>
      <c r="I35" s="173"/>
      <c r="J35" s="173"/>
      <c r="K35" s="174"/>
    </row>
  </sheetData>
  <mergeCells count="10">
    <mergeCell ref="A1:F1"/>
    <mergeCell ref="A2:F2"/>
    <mergeCell ref="A3:F3"/>
    <mergeCell ref="F5:G5"/>
    <mergeCell ref="F14:G14"/>
    <mergeCell ref="C21:K35"/>
    <mergeCell ref="F4:G4"/>
    <mergeCell ref="F10:G10"/>
    <mergeCell ref="F13:G13"/>
    <mergeCell ref="F19:G20"/>
  </mergeCells>
  <pageMargins left="0.7" right="0.7" top="0.75" bottom="0.75" header="0.3" footer="0.3"/>
  <ignoredErrors>
    <ignoredError sqref="G6:G9 G16" formulaRange="1"/>
  </ignoredErrors>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B1EF9-42CB-BC4F-B582-30EAC5D1838B}">
  <dimension ref="A1:F82"/>
  <sheetViews>
    <sheetView topLeftCell="A22" zoomScale="200" workbookViewId="0">
      <selection activeCell="H3" sqref="H3"/>
    </sheetView>
  </sheetViews>
  <sheetFormatPr baseColWidth="10" defaultRowHeight="16" x14ac:dyDescent="0.2"/>
  <cols>
    <col min="1" max="2" width="17.6640625" style="4" customWidth="1"/>
    <col min="3" max="3" width="17.83203125" style="4" customWidth="1"/>
    <col min="4" max="5" width="17.6640625" style="4" customWidth="1"/>
    <col min="6" max="6" width="15.5" style="4" hidden="1" customWidth="1"/>
    <col min="7" max="16384" width="10.83203125" style="4"/>
  </cols>
  <sheetData>
    <row r="1" spans="1:6" ht="24" x14ac:dyDescent="0.3">
      <c r="A1" s="239" t="s">
        <v>152</v>
      </c>
      <c r="B1" s="239"/>
      <c r="C1" s="239"/>
      <c r="D1" s="239"/>
      <c r="E1" s="239"/>
      <c r="F1" s="239"/>
    </row>
    <row r="2" spans="1:6" x14ac:dyDescent="0.2">
      <c r="A2" s="240" t="s">
        <v>153</v>
      </c>
      <c r="B2" s="240"/>
      <c r="C2" s="240"/>
      <c r="D2" s="240"/>
      <c r="E2" s="240"/>
      <c r="F2" s="240"/>
    </row>
    <row r="3" spans="1:6" x14ac:dyDescent="0.2">
      <c r="A3" s="241" t="s">
        <v>154</v>
      </c>
      <c r="B3" s="241"/>
      <c r="C3" s="241"/>
      <c r="D3" s="241"/>
      <c r="E3" s="241"/>
      <c r="F3" s="241"/>
    </row>
    <row r="4" spans="1:6" ht="17" thickBot="1" x14ac:dyDescent="0.25"/>
    <row r="5" spans="1:6" x14ac:dyDescent="0.2">
      <c r="A5" s="19" t="s">
        <v>155</v>
      </c>
      <c r="B5" s="9"/>
      <c r="D5" s="17" t="s">
        <v>104</v>
      </c>
      <c r="E5" s="6"/>
    </row>
    <row r="6" spans="1:6" ht="37" x14ac:dyDescent="0.45">
      <c r="A6" s="12" t="str">
        <f>Raw_Data!B12/1000 &amp; "B €"</f>
        <v>5.29B €</v>
      </c>
      <c r="B6" s="10"/>
      <c r="D6" s="21" t="str">
        <f>Raw_Data!D12 &amp; "%"</f>
        <v>75.1%</v>
      </c>
      <c r="E6" s="7"/>
    </row>
    <row r="7" spans="1:6" ht="20" thickBot="1" x14ac:dyDescent="0.3">
      <c r="A7" s="14" t="str">
        <f>"↑ "&amp;TEXT((Raw_Data!B12-Raw_Data!B8)/Raw_Data!B8,"0.0%")&amp;" YoY"</f>
        <v>↑ 21.6% YoY</v>
      </c>
      <c r="B7" s="11"/>
      <c r="D7" s="15" t="str">
        <f>"↑ " &amp; TEXT(Raw_Data!D12-Raw_Data!D8,"0.0") &amp; " pp YoY"</f>
        <v>↑ 1.4 pp YoY</v>
      </c>
      <c r="E7" s="8"/>
    </row>
    <row r="8" spans="1:6" ht="17" thickBot="1" x14ac:dyDescent="0.25"/>
    <row r="9" spans="1:6" x14ac:dyDescent="0.2">
      <c r="A9" s="20" t="s">
        <v>156</v>
      </c>
      <c r="B9" s="6"/>
      <c r="D9" s="16" t="s">
        <v>157</v>
      </c>
      <c r="E9" s="6"/>
    </row>
    <row r="10" spans="1:6" ht="37" x14ac:dyDescent="0.45">
      <c r="A10" s="13" t="str">
        <f>Raw_Data!F12 &amp; "%"</f>
        <v>28.3%</v>
      </c>
      <c r="B10" s="7"/>
      <c r="D10" s="242">
        <v>0.57999999999999996</v>
      </c>
      <c r="E10" s="243"/>
    </row>
    <row r="11" spans="1:6" ht="20" thickBot="1" x14ac:dyDescent="0.3">
      <c r="A11" s="14" t="str">
        <f>"↑ " &amp; TEXT(Raw_Data!F12-Raw_Data!F8,"0.0") &amp; " pp YoY"</f>
        <v>↑ 1.8 pp YoY</v>
      </c>
      <c r="B11" s="8"/>
      <c r="D11" s="15" t="str">
        <f>"↑ " &amp; TEXT(Raw_Data!H12-Raw_Data!H8,"0.0") &amp; " pp YoY"</f>
        <v>↑ 0.1 pp YoY</v>
      </c>
      <c r="E11" s="8"/>
    </row>
    <row r="12" spans="1:6" ht="17" thickBot="1" x14ac:dyDescent="0.25"/>
    <row r="13" spans="1:6" x14ac:dyDescent="0.2">
      <c r="A13" s="17" t="s">
        <v>158</v>
      </c>
      <c r="B13" s="6"/>
      <c r="D13" s="18" t="s">
        <v>159</v>
      </c>
      <c r="E13" s="6"/>
    </row>
    <row r="14" spans="1:6" ht="37" x14ac:dyDescent="0.45">
      <c r="A14" s="22" t="str">
        <f>Forecast_Model!B13/1000 &amp; "B €"</f>
        <v>5.605B €</v>
      </c>
      <c r="B14" s="7"/>
      <c r="D14" s="224">
        <f>Analysis!B6</f>
        <v>0.21952150189911501</v>
      </c>
      <c r="E14" s="225"/>
    </row>
    <row r="15" spans="1:6" ht="17" thickBot="1" x14ac:dyDescent="0.25">
      <c r="A15" s="44" t="str">
        <f>"Range: " &amp; TEXT(Forecast_Model!H11/1000,"0.0") &amp; "B - " &amp; TEXT(Forecast_Model!H12/1000,"0.0") &amp; "B"</f>
        <v>Range: 5.5B - 5.7B</v>
      </c>
      <c r="B15" s="45"/>
      <c r="D15" s="44" t="s">
        <v>160</v>
      </c>
      <c r="E15" s="45"/>
    </row>
    <row r="38" spans="1:5" ht="22" x14ac:dyDescent="0.3">
      <c r="A38" s="226" t="s">
        <v>162</v>
      </c>
      <c r="B38" s="226"/>
      <c r="C38" s="226"/>
      <c r="D38" s="226"/>
      <c r="E38" s="226"/>
    </row>
    <row r="39" spans="1:5" ht="17" thickBot="1" x14ac:dyDescent="0.25"/>
    <row r="40" spans="1:5" ht="17" customHeight="1" thickBot="1" x14ac:dyDescent="0.25">
      <c r="A40" s="215" t="s">
        <v>165</v>
      </c>
      <c r="B40" s="216"/>
      <c r="C40" s="216"/>
      <c r="D40" s="216"/>
      <c r="E40" s="217"/>
    </row>
    <row r="41" spans="1:5" x14ac:dyDescent="0.2">
      <c r="A41" s="230" t="s">
        <v>166</v>
      </c>
      <c r="B41" s="231"/>
      <c r="C41" s="231"/>
      <c r="D41" s="231"/>
      <c r="E41" s="232"/>
    </row>
    <row r="42" spans="1:5" x14ac:dyDescent="0.2">
      <c r="A42" s="233"/>
      <c r="B42" s="234"/>
      <c r="C42" s="234"/>
      <c r="D42" s="234"/>
      <c r="E42" s="235"/>
    </row>
    <row r="43" spans="1:5" x14ac:dyDescent="0.2">
      <c r="A43" s="233"/>
      <c r="B43" s="234"/>
      <c r="C43" s="234"/>
      <c r="D43" s="234"/>
      <c r="E43" s="235"/>
    </row>
    <row r="44" spans="1:5" x14ac:dyDescent="0.2">
      <c r="A44" s="233"/>
      <c r="B44" s="234"/>
      <c r="C44" s="234"/>
      <c r="D44" s="234"/>
      <c r="E44" s="235"/>
    </row>
    <row r="45" spans="1:5" x14ac:dyDescent="0.2">
      <c r="A45" s="233"/>
      <c r="B45" s="234"/>
      <c r="C45" s="234"/>
      <c r="D45" s="234"/>
      <c r="E45" s="235"/>
    </row>
    <row r="46" spans="1:5" ht="17" thickBot="1" x14ac:dyDescent="0.25">
      <c r="A46" s="236"/>
      <c r="B46" s="237"/>
      <c r="C46" s="237"/>
      <c r="D46" s="237"/>
      <c r="E46" s="238"/>
    </row>
    <row r="47" spans="1:5" ht="17" thickBot="1" x14ac:dyDescent="0.25"/>
    <row r="48" spans="1:5" ht="16" customHeight="1" thickBot="1" x14ac:dyDescent="0.25">
      <c r="A48" s="227" t="s">
        <v>167</v>
      </c>
      <c r="B48" s="228"/>
      <c r="C48" s="228"/>
      <c r="D48" s="228"/>
      <c r="E48" s="229"/>
    </row>
    <row r="49" spans="1:5" x14ac:dyDescent="0.2">
      <c r="A49" s="182" t="s">
        <v>168</v>
      </c>
      <c r="B49" s="183"/>
      <c r="C49" s="183"/>
      <c r="D49" s="183"/>
      <c r="E49" s="184"/>
    </row>
    <row r="50" spans="1:5" x14ac:dyDescent="0.2">
      <c r="A50" s="185"/>
      <c r="B50" s="186"/>
      <c r="C50" s="186"/>
      <c r="D50" s="186"/>
      <c r="E50" s="187"/>
    </row>
    <row r="51" spans="1:5" x14ac:dyDescent="0.2">
      <c r="A51" s="185"/>
      <c r="B51" s="186"/>
      <c r="C51" s="186"/>
      <c r="D51" s="186"/>
      <c r="E51" s="187"/>
    </row>
    <row r="52" spans="1:5" x14ac:dyDescent="0.2">
      <c r="A52" s="185"/>
      <c r="B52" s="186"/>
      <c r="C52" s="186"/>
      <c r="D52" s="186"/>
      <c r="E52" s="187"/>
    </row>
    <row r="53" spans="1:5" x14ac:dyDescent="0.2">
      <c r="A53" s="185"/>
      <c r="B53" s="186"/>
      <c r="C53" s="186"/>
      <c r="D53" s="186"/>
      <c r="E53" s="187"/>
    </row>
    <row r="54" spans="1:5" ht="17" thickBot="1" x14ac:dyDescent="0.25">
      <c r="A54" s="188"/>
      <c r="B54" s="189"/>
      <c r="C54" s="189"/>
      <c r="D54" s="189"/>
      <c r="E54" s="190"/>
    </row>
    <row r="55" spans="1:5" ht="17" thickBot="1" x14ac:dyDescent="0.25"/>
    <row r="56" spans="1:5" ht="17" customHeight="1" thickBot="1" x14ac:dyDescent="0.25">
      <c r="A56" s="191" t="s">
        <v>169</v>
      </c>
      <c r="B56" s="192"/>
      <c r="C56" s="192"/>
      <c r="D56" s="192"/>
      <c r="E56" s="193"/>
    </row>
    <row r="57" spans="1:5" x14ac:dyDescent="0.2">
      <c r="A57" s="194" t="s">
        <v>170</v>
      </c>
      <c r="B57" s="195"/>
      <c r="C57" s="195"/>
      <c r="D57" s="195"/>
      <c r="E57" s="196"/>
    </row>
    <row r="58" spans="1:5" x14ac:dyDescent="0.2">
      <c r="A58" s="197"/>
      <c r="B58" s="198"/>
      <c r="C58" s="198"/>
      <c r="D58" s="198"/>
      <c r="E58" s="199"/>
    </row>
    <row r="59" spans="1:5" x14ac:dyDescent="0.2">
      <c r="A59" s="197"/>
      <c r="B59" s="198"/>
      <c r="C59" s="198"/>
      <c r="D59" s="198"/>
      <c r="E59" s="199"/>
    </row>
    <row r="60" spans="1:5" x14ac:dyDescent="0.2">
      <c r="A60" s="197"/>
      <c r="B60" s="198"/>
      <c r="C60" s="198"/>
      <c r="D60" s="198"/>
      <c r="E60" s="199"/>
    </row>
    <row r="61" spans="1:5" x14ac:dyDescent="0.2">
      <c r="A61" s="197"/>
      <c r="B61" s="198"/>
      <c r="C61" s="198"/>
      <c r="D61" s="198"/>
      <c r="E61" s="199"/>
    </row>
    <row r="62" spans="1:5" ht="17" thickBot="1" x14ac:dyDescent="0.25">
      <c r="A62" s="200"/>
      <c r="B62" s="201"/>
      <c r="C62" s="201"/>
      <c r="D62" s="201"/>
      <c r="E62" s="202"/>
    </row>
    <row r="63" spans="1:5" ht="17" thickBot="1" x14ac:dyDescent="0.25"/>
    <row r="64" spans="1:5" ht="17" customHeight="1" thickBot="1" x14ac:dyDescent="0.25">
      <c r="A64" s="203" t="s">
        <v>171</v>
      </c>
      <c r="B64" s="204"/>
      <c r="C64" s="204"/>
      <c r="D64" s="204"/>
      <c r="E64" s="205"/>
    </row>
    <row r="65" spans="1:5" x14ac:dyDescent="0.2">
      <c r="A65" s="206" t="s">
        <v>172</v>
      </c>
      <c r="B65" s="207"/>
      <c r="C65" s="207"/>
      <c r="D65" s="207"/>
      <c r="E65" s="208"/>
    </row>
    <row r="66" spans="1:5" x14ac:dyDescent="0.2">
      <c r="A66" s="209"/>
      <c r="B66" s="210"/>
      <c r="C66" s="210"/>
      <c r="D66" s="210"/>
      <c r="E66" s="211"/>
    </row>
    <row r="67" spans="1:5" x14ac:dyDescent="0.2">
      <c r="A67" s="209"/>
      <c r="B67" s="210"/>
      <c r="C67" s="210"/>
      <c r="D67" s="210"/>
      <c r="E67" s="211"/>
    </row>
    <row r="68" spans="1:5" x14ac:dyDescent="0.2">
      <c r="A68" s="209"/>
      <c r="B68" s="210"/>
      <c r="C68" s="210"/>
      <c r="D68" s="210"/>
      <c r="E68" s="211"/>
    </row>
    <row r="69" spans="1:5" x14ac:dyDescent="0.2">
      <c r="A69" s="209"/>
      <c r="B69" s="210"/>
      <c r="C69" s="210"/>
      <c r="D69" s="210"/>
      <c r="E69" s="211"/>
    </row>
    <row r="70" spans="1:5" ht="17" thickBot="1" x14ac:dyDescent="0.25">
      <c r="A70" s="212"/>
      <c r="B70" s="213"/>
      <c r="C70" s="213"/>
      <c r="D70" s="213"/>
      <c r="E70" s="214"/>
    </row>
    <row r="71" spans="1:5" ht="17" thickBot="1" x14ac:dyDescent="0.25"/>
    <row r="72" spans="1:5" ht="17" thickBot="1" x14ac:dyDescent="0.25">
      <c r="A72" s="215" t="s">
        <v>163</v>
      </c>
      <c r="B72" s="216"/>
      <c r="C72" s="216"/>
      <c r="D72" s="216"/>
      <c r="E72" s="217"/>
    </row>
    <row r="73" spans="1:5" ht="16" customHeight="1" x14ac:dyDescent="0.2">
      <c r="A73" s="218" t="s">
        <v>164</v>
      </c>
      <c r="B73" s="219"/>
      <c r="C73" s="219"/>
      <c r="D73" s="219"/>
      <c r="E73" s="220"/>
    </row>
    <row r="74" spans="1:5" x14ac:dyDescent="0.2">
      <c r="A74" s="218"/>
      <c r="B74" s="219"/>
      <c r="C74" s="219"/>
      <c r="D74" s="219"/>
      <c r="E74" s="220"/>
    </row>
    <row r="75" spans="1:5" x14ac:dyDescent="0.2">
      <c r="A75" s="218"/>
      <c r="B75" s="219"/>
      <c r="C75" s="219"/>
      <c r="D75" s="219"/>
      <c r="E75" s="220"/>
    </row>
    <row r="76" spans="1:5" x14ac:dyDescent="0.2">
      <c r="A76" s="218"/>
      <c r="B76" s="219"/>
      <c r="C76" s="219"/>
      <c r="D76" s="219"/>
      <c r="E76" s="220"/>
    </row>
    <row r="77" spans="1:5" x14ac:dyDescent="0.2">
      <c r="A77" s="218"/>
      <c r="B77" s="219"/>
      <c r="C77" s="219"/>
      <c r="D77" s="219"/>
      <c r="E77" s="220"/>
    </row>
    <row r="78" spans="1:5" x14ac:dyDescent="0.2">
      <c r="A78" s="218"/>
      <c r="B78" s="219"/>
      <c r="C78" s="219"/>
      <c r="D78" s="219"/>
      <c r="E78" s="220"/>
    </row>
    <row r="79" spans="1:5" x14ac:dyDescent="0.2">
      <c r="A79" s="218"/>
      <c r="B79" s="219"/>
      <c r="C79" s="219"/>
      <c r="D79" s="219"/>
      <c r="E79" s="220"/>
    </row>
    <row r="80" spans="1:5" x14ac:dyDescent="0.2">
      <c r="A80" s="218"/>
      <c r="B80" s="219"/>
      <c r="C80" s="219"/>
      <c r="D80" s="219"/>
      <c r="E80" s="220"/>
    </row>
    <row r="81" spans="1:5" x14ac:dyDescent="0.2">
      <c r="A81" s="218"/>
      <c r="B81" s="219"/>
      <c r="C81" s="219"/>
      <c r="D81" s="219"/>
      <c r="E81" s="220"/>
    </row>
    <row r="82" spans="1:5" ht="17" thickBot="1" x14ac:dyDescent="0.25">
      <c r="A82" s="221"/>
      <c r="B82" s="222"/>
      <c r="C82" s="222"/>
      <c r="D82" s="222"/>
      <c r="E82" s="223"/>
    </row>
  </sheetData>
  <mergeCells count="16">
    <mergeCell ref="A1:F1"/>
    <mergeCell ref="A2:F2"/>
    <mergeCell ref="A3:F3"/>
    <mergeCell ref="D10:E10"/>
    <mergeCell ref="A72:E72"/>
    <mergeCell ref="A73:E82"/>
    <mergeCell ref="D14:E14"/>
    <mergeCell ref="A38:E38"/>
    <mergeCell ref="A48:E48"/>
    <mergeCell ref="A40:E40"/>
    <mergeCell ref="A41:E46"/>
    <mergeCell ref="A49:E54"/>
    <mergeCell ref="A56:E56"/>
    <mergeCell ref="A57:E62"/>
    <mergeCell ref="A64:E64"/>
    <mergeCell ref="A65:E7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36B1A-4A28-DB4C-92D1-CBA8F4C33CCE}">
  <dimension ref="A1:H77"/>
  <sheetViews>
    <sheetView workbookViewId="0">
      <selection activeCell="L60" sqref="L60"/>
    </sheetView>
  </sheetViews>
  <sheetFormatPr baseColWidth="10" defaultRowHeight="16" x14ac:dyDescent="0.2"/>
  <cols>
    <col min="1" max="1" width="10.83203125" customWidth="1"/>
    <col min="6" max="6" width="10.83203125" customWidth="1"/>
  </cols>
  <sheetData>
    <row r="1" spans="1:8" ht="28" thickBot="1" x14ac:dyDescent="0.4">
      <c r="A1" s="253" t="s">
        <v>21</v>
      </c>
      <c r="B1" s="254"/>
      <c r="C1" s="254"/>
      <c r="D1" s="254"/>
      <c r="E1" s="254"/>
      <c r="F1" s="254"/>
      <c r="G1" s="254"/>
      <c r="H1" s="255"/>
    </row>
    <row r="2" spans="1:8" ht="19" x14ac:dyDescent="0.25">
      <c r="A2" s="256" t="s">
        <v>22</v>
      </c>
      <c r="B2" s="257"/>
      <c r="C2" s="257"/>
      <c r="D2" s="257"/>
      <c r="E2" s="257"/>
      <c r="F2" s="257"/>
      <c r="G2" s="257"/>
      <c r="H2" s="258"/>
    </row>
    <row r="3" spans="1:8" ht="19" x14ac:dyDescent="0.25">
      <c r="A3" s="247" t="s">
        <v>23</v>
      </c>
      <c r="B3" s="248"/>
      <c r="C3" s="248"/>
      <c r="D3" s="248"/>
      <c r="E3" s="248"/>
      <c r="F3" s="248"/>
      <c r="G3" s="248"/>
      <c r="H3" s="249"/>
    </row>
    <row r="4" spans="1:8" ht="20" thickBot="1" x14ac:dyDescent="0.3">
      <c r="A4" s="250" t="s">
        <v>24</v>
      </c>
      <c r="B4" s="251"/>
      <c r="C4" s="251"/>
      <c r="D4" s="251"/>
      <c r="E4" s="251"/>
      <c r="F4" s="251"/>
      <c r="G4" s="251"/>
      <c r="H4" s="252"/>
    </row>
    <row r="6" spans="1:8" x14ac:dyDescent="0.2">
      <c r="A6" t="s">
        <v>25</v>
      </c>
    </row>
    <row r="7" spans="1:8" ht="17" thickBot="1" x14ac:dyDescent="0.25"/>
    <row r="8" spans="1:8" ht="23" thickBot="1" x14ac:dyDescent="0.35">
      <c r="A8" s="244" t="s">
        <v>26</v>
      </c>
      <c r="B8" s="245"/>
      <c r="C8" s="245"/>
      <c r="D8" s="245"/>
      <c r="E8" s="245"/>
      <c r="F8" s="245"/>
      <c r="G8" s="245"/>
      <c r="H8" s="246"/>
    </row>
    <row r="9" spans="1:8" ht="17" thickBot="1" x14ac:dyDescent="0.25"/>
    <row r="10" spans="1:8" ht="19" x14ac:dyDescent="0.25">
      <c r="A10" s="256" t="s">
        <v>27</v>
      </c>
      <c r="B10" s="257"/>
      <c r="C10" s="257"/>
      <c r="D10" s="257"/>
      <c r="E10" s="257"/>
      <c r="F10" s="257"/>
      <c r="G10" s="257"/>
      <c r="H10" s="258"/>
    </row>
    <row r="11" spans="1:8" ht="19" x14ac:dyDescent="0.25">
      <c r="A11" s="247" t="s">
        <v>28</v>
      </c>
      <c r="B11" s="248"/>
      <c r="C11" s="248"/>
      <c r="D11" s="248"/>
      <c r="E11" s="248"/>
      <c r="F11" s="248"/>
      <c r="G11" s="248"/>
      <c r="H11" s="249"/>
    </row>
    <row r="12" spans="1:8" ht="19" x14ac:dyDescent="0.25">
      <c r="A12" s="247" t="s">
        <v>29</v>
      </c>
      <c r="B12" s="248"/>
      <c r="C12" s="248"/>
      <c r="D12" s="248"/>
      <c r="E12" s="248"/>
      <c r="F12" s="248"/>
      <c r="G12" s="248"/>
      <c r="H12" s="249"/>
    </row>
    <row r="13" spans="1:8" ht="19" x14ac:dyDescent="0.25">
      <c r="A13" s="247" t="s">
        <v>30</v>
      </c>
      <c r="B13" s="248"/>
      <c r="C13" s="248"/>
      <c r="D13" s="248"/>
      <c r="E13" s="248"/>
      <c r="F13" s="248"/>
      <c r="G13" s="248"/>
      <c r="H13" s="249"/>
    </row>
    <row r="14" spans="1:8" ht="19" x14ac:dyDescent="0.25">
      <c r="A14" s="247" t="s">
        <v>31</v>
      </c>
      <c r="B14" s="248"/>
      <c r="C14" s="248"/>
      <c r="D14" s="248"/>
      <c r="E14" s="248"/>
      <c r="F14" s="248"/>
      <c r="G14" s="248"/>
      <c r="H14" s="249"/>
    </row>
    <row r="15" spans="1:8" ht="19" x14ac:dyDescent="0.25">
      <c r="A15" s="247"/>
      <c r="B15" s="248"/>
      <c r="C15" s="248"/>
      <c r="D15" s="248"/>
      <c r="E15" s="248"/>
      <c r="F15" s="248"/>
      <c r="G15" s="248"/>
      <c r="H15" s="249"/>
    </row>
    <row r="16" spans="1:8" ht="19" x14ac:dyDescent="0.25">
      <c r="A16" s="247" t="s">
        <v>32</v>
      </c>
      <c r="B16" s="248"/>
      <c r="C16" s="248"/>
      <c r="D16" s="248"/>
      <c r="E16" s="248"/>
      <c r="F16" s="248"/>
      <c r="G16" s="248"/>
      <c r="H16" s="249"/>
    </row>
    <row r="17" spans="1:8" ht="19" x14ac:dyDescent="0.25">
      <c r="A17" s="247" t="s">
        <v>33</v>
      </c>
      <c r="B17" s="248"/>
      <c r="C17" s="248"/>
      <c r="D17" s="248"/>
      <c r="E17" s="248"/>
      <c r="F17" s="248"/>
      <c r="G17" s="248"/>
      <c r="H17" s="249"/>
    </row>
    <row r="18" spans="1:8" ht="19" x14ac:dyDescent="0.25">
      <c r="A18" s="247" t="s">
        <v>34</v>
      </c>
      <c r="B18" s="248"/>
      <c r="C18" s="248"/>
      <c r="D18" s="248"/>
      <c r="E18" s="248"/>
      <c r="F18" s="248"/>
      <c r="G18" s="248"/>
      <c r="H18" s="249"/>
    </row>
    <row r="19" spans="1:8" ht="20" thickBot="1" x14ac:dyDescent="0.3">
      <c r="A19" s="250" t="s">
        <v>35</v>
      </c>
      <c r="B19" s="251"/>
      <c r="C19" s="251"/>
      <c r="D19" s="251"/>
      <c r="E19" s="251"/>
      <c r="F19" s="251"/>
      <c r="G19" s="251"/>
      <c r="H19" s="252"/>
    </row>
    <row r="21" spans="1:8" x14ac:dyDescent="0.2">
      <c r="A21" t="s">
        <v>25</v>
      </c>
    </row>
    <row r="22" spans="1:8" ht="17" thickBot="1" x14ac:dyDescent="0.25"/>
    <row r="23" spans="1:8" ht="23" thickBot="1" x14ac:dyDescent="0.35">
      <c r="A23" s="244" t="s">
        <v>36</v>
      </c>
      <c r="B23" s="245"/>
      <c r="C23" s="245"/>
      <c r="D23" s="245"/>
      <c r="E23" s="245"/>
      <c r="F23" s="245"/>
      <c r="G23" s="245"/>
      <c r="H23" s="246"/>
    </row>
    <row r="24" spans="1:8" ht="17" thickBot="1" x14ac:dyDescent="0.25"/>
    <row r="25" spans="1:8" ht="19" x14ac:dyDescent="0.25">
      <c r="A25" s="47" t="s">
        <v>37</v>
      </c>
      <c r="B25" s="48"/>
      <c r="C25" s="48"/>
      <c r="D25" s="48"/>
      <c r="E25" s="48"/>
      <c r="F25" s="48"/>
      <c r="G25" s="23"/>
      <c r="H25" s="34"/>
    </row>
    <row r="26" spans="1:8" ht="19" x14ac:dyDescent="0.25">
      <c r="A26" s="50" t="s">
        <v>38</v>
      </c>
      <c r="B26" s="51"/>
      <c r="C26" s="51"/>
      <c r="D26" s="51"/>
      <c r="E26" s="51"/>
      <c r="F26" s="51"/>
      <c r="H26" s="35"/>
    </row>
    <row r="27" spans="1:8" ht="19" x14ac:dyDescent="0.25">
      <c r="A27" s="50" t="s">
        <v>39</v>
      </c>
      <c r="B27" s="51"/>
      <c r="C27" s="51"/>
      <c r="D27" s="51"/>
      <c r="E27" s="51"/>
      <c r="F27" s="51"/>
      <c r="H27" s="35"/>
    </row>
    <row r="28" spans="1:8" ht="19" x14ac:dyDescent="0.25">
      <c r="A28" s="50" t="s">
        <v>40</v>
      </c>
      <c r="B28" s="51"/>
      <c r="C28" s="51"/>
      <c r="D28" s="51"/>
      <c r="E28" s="51"/>
      <c r="F28" s="51"/>
      <c r="H28" s="35"/>
    </row>
    <row r="29" spans="1:8" ht="19" x14ac:dyDescent="0.25">
      <c r="A29" s="50"/>
      <c r="B29" s="51"/>
      <c r="C29" s="51"/>
      <c r="D29" s="51"/>
      <c r="E29" s="51"/>
      <c r="F29" s="51"/>
      <c r="H29" s="35"/>
    </row>
    <row r="30" spans="1:8" ht="19" x14ac:dyDescent="0.25">
      <c r="A30" s="50" t="s">
        <v>41</v>
      </c>
      <c r="B30" s="51"/>
      <c r="C30" s="51"/>
      <c r="D30" s="51"/>
      <c r="E30" s="51"/>
      <c r="F30" s="51"/>
      <c r="H30" s="35"/>
    </row>
    <row r="31" spans="1:8" ht="19" x14ac:dyDescent="0.25">
      <c r="A31" s="50" t="s">
        <v>42</v>
      </c>
      <c r="B31" s="51"/>
      <c r="C31" s="51"/>
      <c r="D31" s="51"/>
      <c r="E31" s="51"/>
      <c r="F31" s="51"/>
      <c r="H31" s="35"/>
    </row>
    <row r="32" spans="1:8" ht="19" x14ac:dyDescent="0.25">
      <c r="A32" s="50" t="s">
        <v>43</v>
      </c>
      <c r="B32" s="51"/>
      <c r="C32" s="51"/>
      <c r="D32" s="51"/>
      <c r="E32" s="51"/>
      <c r="F32" s="51"/>
      <c r="H32" s="35"/>
    </row>
    <row r="33" spans="1:8" ht="19" x14ac:dyDescent="0.25">
      <c r="A33" s="50" t="s">
        <v>44</v>
      </c>
      <c r="B33" s="51"/>
      <c r="C33" s="51"/>
      <c r="D33" s="51"/>
      <c r="E33" s="51"/>
      <c r="F33" s="51"/>
      <c r="H33" s="35"/>
    </row>
    <row r="34" spans="1:8" ht="19" x14ac:dyDescent="0.25">
      <c r="A34" s="50"/>
      <c r="B34" s="51"/>
      <c r="C34" s="51"/>
      <c r="D34" s="51"/>
      <c r="E34" s="51"/>
      <c r="F34" s="51"/>
      <c r="H34" s="35"/>
    </row>
    <row r="35" spans="1:8" ht="19" x14ac:dyDescent="0.25">
      <c r="A35" s="50" t="s">
        <v>45</v>
      </c>
      <c r="B35" s="51"/>
      <c r="C35" s="51"/>
      <c r="D35" s="51"/>
      <c r="E35" s="51"/>
      <c r="F35" s="51"/>
      <c r="H35" s="35"/>
    </row>
    <row r="36" spans="1:8" ht="19" x14ac:dyDescent="0.25">
      <c r="A36" s="50" t="s">
        <v>46</v>
      </c>
      <c r="B36" s="51"/>
      <c r="C36" s="51"/>
      <c r="D36" s="51"/>
      <c r="E36" s="51"/>
      <c r="F36" s="51"/>
      <c r="H36" s="35"/>
    </row>
    <row r="37" spans="1:8" ht="19" x14ac:dyDescent="0.25">
      <c r="A37" s="50" t="s">
        <v>47</v>
      </c>
      <c r="B37" s="51"/>
      <c r="C37" s="51"/>
      <c r="D37" s="51"/>
      <c r="E37" s="51"/>
      <c r="F37" s="51"/>
      <c r="H37" s="35"/>
    </row>
    <row r="38" spans="1:8" ht="20" thickBot="1" x14ac:dyDescent="0.3">
      <c r="A38" s="53" t="s">
        <v>48</v>
      </c>
      <c r="B38" s="54"/>
      <c r="C38" s="54"/>
      <c r="D38" s="54"/>
      <c r="E38" s="54"/>
      <c r="F38" s="54"/>
      <c r="G38" s="30"/>
      <c r="H38" s="43"/>
    </row>
    <row r="40" spans="1:8" x14ac:dyDescent="0.2">
      <c r="A40" t="s">
        <v>25</v>
      </c>
    </row>
    <row r="41" spans="1:8" ht="17" thickBot="1" x14ac:dyDescent="0.25"/>
    <row r="42" spans="1:8" ht="23" thickBot="1" x14ac:dyDescent="0.35">
      <c r="A42" s="244" t="s">
        <v>49</v>
      </c>
      <c r="B42" s="245"/>
      <c r="C42" s="245"/>
      <c r="D42" s="245"/>
      <c r="E42" s="245"/>
      <c r="F42" s="245"/>
      <c r="G42" s="245"/>
      <c r="H42" s="246"/>
    </row>
    <row r="43" spans="1:8" ht="17" thickBot="1" x14ac:dyDescent="0.25"/>
    <row r="44" spans="1:8" ht="19" x14ac:dyDescent="0.25">
      <c r="A44" s="47" t="s">
        <v>50</v>
      </c>
      <c r="B44" s="48"/>
      <c r="C44" s="48"/>
      <c r="D44" s="48"/>
      <c r="E44" s="48"/>
      <c r="F44" s="48"/>
      <c r="G44" s="48"/>
      <c r="H44" s="49"/>
    </row>
    <row r="45" spans="1:8" ht="19" x14ac:dyDescent="0.25">
      <c r="A45" s="50" t="s">
        <v>51</v>
      </c>
      <c r="B45" s="51"/>
      <c r="C45" s="51"/>
      <c r="D45" s="51"/>
      <c r="E45" s="51"/>
      <c r="F45" s="51"/>
      <c r="G45" s="51"/>
      <c r="H45" s="52"/>
    </row>
    <row r="46" spans="1:8" ht="19" x14ac:dyDescent="0.25">
      <c r="A46" s="50" t="s">
        <v>52</v>
      </c>
      <c r="B46" s="51"/>
      <c r="C46" s="51"/>
      <c r="D46" s="51"/>
      <c r="E46" s="51"/>
      <c r="F46" s="51"/>
      <c r="G46" s="51"/>
      <c r="H46" s="52"/>
    </row>
    <row r="47" spans="1:8" ht="19" x14ac:dyDescent="0.25">
      <c r="A47" s="50"/>
      <c r="B47" s="51"/>
      <c r="C47" s="51"/>
      <c r="D47" s="51"/>
      <c r="E47" s="51"/>
      <c r="F47" s="51"/>
      <c r="G47" s="51"/>
      <c r="H47" s="52"/>
    </row>
    <row r="48" spans="1:8" ht="19" x14ac:dyDescent="0.25">
      <c r="A48" s="50" t="s">
        <v>53</v>
      </c>
      <c r="B48" s="51"/>
      <c r="C48" s="51"/>
      <c r="D48" s="51"/>
      <c r="E48" s="51"/>
      <c r="F48" s="51"/>
      <c r="G48" s="51"/>
      <c r="H48" s="52"/>
    </row>
    <row r="49" spans="1:8" ht="19" x14ac:dyDescent="0.25">
      <c r="A49" s="50" t="s">
        <v>54</v>
      </c>
      <c r="B49" s="51"/>
      <c r="C49" s="51"/>
      <c r="D49" s="51"/>
      <c r="E49" s="51"/>
      <c r="F49" s="51"/>
      <c r="G49" s="51"/>
      <c r="H49" s="52"/>
    </row>
    <row r="50" spans="1:8" ht="19" x14ac:dyDescent="0.25">
      <c r="A50" s="50" t="s">
        <v>55</v>
      </c>
      <c r="B50" s="51"/>
      <c r="C50" s="51"/>
      <c r="D50" s="51"/>
      <c r="E50" s="51"/>
      <c r="F50" s="51"/>
      <c r="G50" s="51"/>
      <c r="H50" s="52"/>
    </row>
    <row r="51" spans="1:8" ht="19" x14ac:dyDescent="0.25">
      <c r="A51" s="50"/>
      <c r="B51" s="51"/>
      <c r="C51" s="51"/>
      <c r="D51" s="51"/>
      <c r="E51" s="51"/>
      <c r="F51" s="51"/>
      <c r="G51" s="51"/>
      <c r="H51" s="52"/>
    </row>
    <row r="52" spans="1:8" ht="19" x14ac:dyDescent="0.25">
      <c r="A52" s="50" t="s">
        <v>56</v>
      </c>
      <c r="B52" s="51"/>
      <c r="C52" s="51"/>
      <c r="D52" s="51"/>
      <c r="E52" s="51"/>
      <c r="F52" s="51"/>
      <c r="G52" s="51"/>
      <c r="H52" s="52"/>
    </row>
    <row r="53" spans="1:8" ht="19" x14ac:dyDescent="0.25">
      <c r="A53" s="50" t="s">
        <v>57</v>
      </c>
      <c r="B53" s="51"/>
      <c r="C53" s="51"/>
      <c r="D53" s="51"/>
      <c r="E53" s="51"/>
      <c r="F53" s="51"/>
      <c r="G53" s="51"/>
      <c r="H53" s="52"/>
    </row>
    <row r="54" spans="1:8" ht="19" x14ac:dyDescent="0.25">
      <c r="A54" s="50" t="s">
        <v>58</v>
      </c>
      <c r="B54" s="51"/>
      <c r="C54" s="51"/>
      <c r="D54" s="51"/>
      <c r="E54" s="51"/>
      <c r="F54" s="51"/>
      <c r="G54" s="51"/>
      <c r="H54" s="52"/>
    </row>
    <row r="55" spans="1:8" ht="19" x14ac:dyDescent="0.25">
      <c r="A55" s="50"/>
      <c r="B55" s="51"/>
      <c r="C55" s="51"/>
      <c r="D55" s="51"/>
      <c r="E55" s="51"/>
      <c r="F55" s="51"/>
      <c r="G55" s="51"/>
      <c r="H55" s="52"/>
    </row>
    <row r="56" spans="1:8" ht="19" x14ac:dyDescent="0.25">
      <c r="A56" s="50" t="s">
        <v>59</v>
      </c>
      <c r="B56" s="51"/>
      <c r="C56" s="51"/>
      <c r="D56" s="51"/>
      <c r="E56" s="51"/>
      <c r="F56" s="51"/>
      <c r="G56" s="51"/>
      <c r="H56" s="52"/>
    </row>
    <row r="57" spans="1:8" ht="19" x14ac:dyDescent="0.25">
      <c r="A57" s="50" t="s">
        <v>60</v>
      </c>
      <c r="B57" s="51"/>
      <c r="C57" s="51"/>
      <c r="D57" s="51"/>
      <c r="E57" s="51"/>
      <c r="F57" s="51"/>
      <c r="G57" s="51"/>
      <c r="H57" s="52"/>
    </row>
    <row r="58" spans="1:8" ht="20" thickBot="1" x14ac:dyDescent="0.3">
      <c r="A58" s="53" t="s">
        <v>61</v>
      </c>
      <c r="B58" s="54"/>
      <c r="C58" s="54"/>
      <c r="D58" s="54"/>
      <c r="E58" s="54"/>
      <c r="F58" s="54"/>
      <c r="G58" s="54"/>
      <c r="H58" s="55"/>
    </row>
    <row r="60" spans="1:8" x14ac:dyDescent="0.2">
      <c r="A60" t="s">
        <v>25</v>
      </c>
    </row>
    <row r="61" spans="1:8" ht="17" thickBot="1" x14ac:dyDescent="0.25"/>
    <row r="62" spans="1:8" ht="23" thickBot="1" x14ac:dyDescent="0.35">
      <c r="A62" s="244" t="s">
        <v>62</v>
      </c>
      <c r="B62" s="245"/>
      <c r="C62" s="245"/>
      <c r="D62" s="245"/>
      <c r="E62" s="245"/>
      <c r="F62" s="245"/>
      <c r="G62" s="245"/>
      <c r="H62" s="246"/>
    </row>
    <row r="63" spans="1:8" ht="17" thickBot="1" x14ac:dyDescent="0.25"/>
    <row r="64" spans="1:8" ht="19" x14ac:dyDescent="0.25">
      <c r="A64" s="47" t="s">
        <v>63</v>
      </c>
      <c r="B64" s="48"/>
      <c r="C64" s="48"/>
      <c r="D64" s="48"/>
      <c r="E64" s="48"/>
      <c r="F64" s="48"/>
      <c r="G64" s="48"/>
      <c r="H64" s="34"/>
    </row>
    <row r="65" spans="1:8" ht="19" x14ac:dyDescent="0.25">
      <c r="A65" s="50" t="s">
        <v>64</v>
      </c>
      <c r="B65" s="51"/>
      <c r="C65" s="51"/>
      <c r="D65" s="51"/>
      <c r="E65" s="51"/>
      <c r="F65" s="51"/>
      <c r="G65" s="51"/>
      <c r="H65" s="35"/>
    </row>
    <row r="66" spans="1:8" ht="19" x14ac:dyDescent="0.25">
      <c r="A66" s="50" t="s">
        <v>65</v>
      </c>
      <c r="B66" s="51"/>
      <c r="C66" s="51"/>
      <c r="D66" s="51"/>
      <c r="E66" s="51"/>
      <c r="F66" s="51"/>
      <c r="G66" s="51"/>
      <c r="H66" s="35"/>
    </row>
    <row r="67" spans="1:8" ht="19" x14ac:dyDescent="0.25">
      <c r="A67" s="50" t="s">
        <v>66</v>
      </c>
      <c r="B67" s="51"/>
      <c r="C67" s="51"/>
      <c r="D67" s="51"/>
      <c r="E67" s="51"/>
      <c r="F67" s="51"/>
      <c r="G67" s="51"/>
      <c r="H67" s="35"/>
    </row>
    <row r="68" spans="1:8" ht="19" x14ac:dyDescent="0.25">
      <c r="A68" s="50"/>
      <c r="B68" s="51"/>
      <c r="C68" s="51"/>
      <c r="D68" s="51"/>
      <c r="E68" s="51"/>
      <c r="F68" s="51"/>
      <c r="G68" s="51"/>
      <c r="H68" s="35"/>
    </row>
    <row r="69" spans="1:8" ht="19" x14ac:dyDescent="0.25">
      <c r="A69" s="50" t="s">
        <v>67</v>
      </c>
      <c r="B69" s="51"/>
      <c r="C69" s="51"/>
      <c r="D69" s="51"/>
      <c r="E69" s="51"/>
      <c r="F69" s="51"/>
      <c r="G69" s="51"/>
      <c r="H69" s="35"/>
    </row>
    <row r="70" spans="1:8" ht="19" x14ac:dyDescent="0.25">
      <c r="A70" s="50" t="s">
        <v>68</v>
      </c>
      <c r="B70" s="51"/>
      <c r="C70" s="51"/>
      <c r="D70" s="51"/>
      <c r="E70" s="51"/>
      <c r="F70" s="51"/>
      <c r="G70" s="51"/>
      <c r="H70" s="35"/>
    </row>
    <row r="71" spans="1:8" ht="19" x14ac:dyDescent="0.25">
      <c r="A71" s="50" t="s">
        <v>69</v>
      </c>
      <c r="B71" s="51"/>
      <c r="C71" s="51"/>
      <c r="D71" s="51"/>
      <c r="E71" s="51"/>
      <c r="F71" s="51"/>
      <c r="G71" s="51"/>
      <c r="H71" s="35"/>
    </row>
    <row r="72" spans="1:8" ht="19" x14ac:dyDescent="0.25">
      <c r="A72" s="50" t="s">
        <v>70</v>
      </c>
      <c r="B72" s="51"/>
      <c r="C72" s="51"/>
      <c r="D72" s="51"/>
      <c r="E72" s="51"/>
      <c r="F72" s="51"/>
      <c r="G72" s="51"/>
      <c r="H72" s="35"/>
    </row>
    <row r="73" spans="1:8" ht="19" x14ac:dyDescent="0.25">
      <c r="A73" s="50"/>
      <c r="B73" s="51"/>
      <c r="C73" s="51"/>
      <c r="D73" s="51"/>
      <c r="E73" s="51"/>
      <c r="F73" s="51"/>
      <c r="G73" s="51"/>
      <c r="H73" s="35"/>
    </row>
    <row r="74" spans="1:8" ht="19" x14ac:dyDescent="0.25">
      <c r="A74" s="50" t="s">
        <v>71</v>
      </c>
      <c r="B74" s="51"/>
      <c r="C74" s="51"/>
      <c r="D74" s="51"/>
      <c r="E74" s="51"/>
      <c r="F74" s="51"/>
      <c r="G74" s="51"/>
      <c r="H74" s="35"/>
    </row>
    <row r="75" spans="1:8" ht="20" thickBot="1" x14ac:dyDescent="0.3">
      <c r="A75" s="53" t="s">
        <v>72</v>
      </c>
      <c r="B75" s="54"/>
      <c r="C75" s="54"/>
      <c r="D75" s="54"/>
      <c r="E75" s="54"/>
      <c r="F75" s="54"/>
      <c r="G75" s="54"/>
      <c r="H75" s="43"/>
    </row>
    <row r="77" spans="1:8" x14ac:dyDescent="0.2">
      <c r="A77" t="s">
        <v>25</v>
      </c>
    </row>
  </sheetData>
  <mergeCells count="18">
    <mergeCell ref="A16:H16"/>
    <mergeCell ref="A1:H1"/>
    <mergeCell ref="A2:H2"/>
    <mergeCell ref="A3:H3"/>
    <mergeCell ref="A4:H4"/>
    <mergeCell ref="A8:H8"/>
    <mergeCell ref="A10:H10"/>
    <mergeCell ref="A11:H11"/>
    <mergeCell ref="A12:H12"/>
    <mergeCell ref="A13:H13"/>
    <mergeCell ref="A14:H14"/>
    <mergeCell ref="A15:H15"/>
    <mergeCell ref="A62:H62"/>
    <mergeCell ref="A17:H17"/>
    <mergeCell ref="A18:H18"/>
    <mergeCell ref="A19:H19"/>
    <mergeCell ref="A23:H23"/>
    <mergeCell ref="A42:H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Analysis</vt:lpstr>
      <vt:lpstr>Regional_Data</vt:lpstr>
      <vt:lpstr>Forecast_Model</vt:lpstr>
      <vt:lpstr>Dashboard</vt:lpstr>
      <vt:lpstr>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dcterms:created xsi:type="dcterms:W3CDTF">2025-11-16T23:57:17Z</dcterms:created>
  <dcterms:modified xsi:type="dcterms:W3CDTF">2025-11-24T00:52:26Z</dcterms:modified>
</cp:coreProperties>
</file>